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4_ANALYSE ECONOMIQUE/6_paper/"/>
    </mc:Choice>
  </mc:AlternateContent>
  <xr:revisionPtr revIDLastSave="182" documentId="8_{7E7CC100-A7CB-4F0A-866C-22433BE0E3F7}" xr6:coauthVersionLast="47" xr6:coauthVersionMax="47" xr10:uidLastSave="{C88CC980-BBC1-4930-B827-8F769957094B}"/>
  <bookViews>
    <workbookView xWindow="22932" yWindow="-108" windowWidth="23256" windowHeight="12456" xr2:uid="{0B8803F1-323E-4DCF-9140-39692C77949D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Sheet2!$A$3:$C$8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I28" i="3"/>
  <c r="I29" i="3"/>
  <c r="I30" i="3"/>
  <c r="I31" i="3"/>
  <c r="I26" i="3"/>
  <c r="M11" i="1"/>
  <c r="M15" i="1" s="1"/>
  <c r="L11" i="1"/>
  <c r="L15" i="1" s="1"/>
  <c r="K11" i="1"/>
  <c r="K15" i="1" s="1"/>
  <c r="J11" i="1"/>
  <c r="J15" i="1" s="1"/>
  <c r="I11" i="1"/>
  <c r="I15" i="1" s="1"/>
  <c r="B11" i="1"/>
  <c r="B15" i="1" s="1"/>
  <c r="C11" i="1"/>
  <c r="D11" i="1"/>
  <c r="D15" i="1" s="1"/>
  <c r="E11" i="1"/>
  <c r="F11" i="1"/>
  <c r="C15" i="1"/>
  <c r="E15" i="1"/>
  <c r="F15" i="1"/>
</calcChain>
</file>

<file path=xl/sharedStrings.xml><?xml version="1.0" encoding="utf-8"?>
<sst xmlns="http://schemas.openxmlformats.org/spreadsheetml/2006/main" count="77" uniqueCount="42">
  <si>
    <t>Block 1</t>
  </si>
  <si>
    <t>Block 2</t>
  </si>
  <si>
    <t>Block 3</t>
  </si>
  <si>
    <t>Block 4</t>
  </si>
  <si>
    <t>Block 5</t>
  </si>
  <si>
    <t>Total</t>
  </si>
  <si>
    <t>Category</t>
  </si>
  <si>
    <t>Log sales</t>
  </si>
  <si>
    <t>Firewood sales</t>
  </si>
  <si>
    <t>Hunting lease</t>
  </si>
  <si>
    <t>Fishing lease</t>
  </si>
  <si>
    <t>Taxes</t>
  </si>
  <si>
    <t>Staff</t>
  </si>
  <si>
    <t>Subsidies</t>
  </si>
  <si>
    <t>Roadwork amortization</t>
  </si>
  <si>
    <t xml:space="preserve">Vehicle amortization </t>
  </si>
  <si>
    <t>Forest rent opportunity cost</t>
  </si>
  <si>
    <t>Standing capital opportunity cost</t>
  </si>
  <si>
    <t>block</t>
  </si>
  <si>
    <t>IRR</t>
  </si>
  <si>
    <t>IRRnominal</t>
  </si>
  <si>
    <t>With all financial flows</t>
  </si>
  <si>
    <t>Excluding roadworks, subsidies, taxes, fishing, hunting.</t>
  </si>
  <si>
    <t>Scénario</t>
  </si>
  <si>
    <t>Hazard-free</t>
  </si>
  <si>
    <t>Bark-beetle</t>
  </si>
  <si>
    <t>Growth decline</t>
  </si>
  <si>
    <t>Mean outflow (€/ha/year)</t>
  </si>
  <si>
    <t>Mean inflow (€/ha/year)</t>
  </si>
  <si>
    <t>DO</t>
  </si>
  <si>
    <t>SP</t>
  </si>
  <si>
    <t>Rege. Problems</t>
  </si>
  <si>
    <t>T</t>
  </si>
  <si>
    <r>
      <t>IRR</t>
    </r>
    <r>
      <rPr>
        <b/>
        <vertAlign val="subscript"/>
        <sz val="11"/>
        <color theme="1"/>
        <rFont val="Aptos Narrow"/>
        <family val="2"/>
        <scheme val="minor"/>
      </rPr>
      <t>nominal</t>
    </r>
  </si>
  <si>
    <t>VAN (r=2%) (€/ha/year)</t>
  </si>
  <si>
    <t>Douglas</t>
  </si>
  <si>
    <t>Sans aléa</t>
  </si>
  <si>
    <t>Perte de croissance</t>
  </si>
  <si>
    <t>Echec de régénération</t>
  </si>
  <si>
    <t>Epicéa</t>
  </si>
  <si>
    <t>Dégât de scolytes</t>
  </si>
  <si>
    <t>problème de régénération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</si>
</sst>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64" fontId="0" fillId="0" borderId="0" xfId="1" applyNumberFormat="1" applyFont="1"/>
    <xf numFmtId="1" fontId="0" fillId="0" borderId="0" xfId="0" applyNumberForma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0093-2FBC-470B-B23E-AC16EC2192CB}">
  <dimension ref="A1:M15"/>
  <sheetViews>
    <sheetView tabSelected="1" workbookViewId="0">
      <selection activeCell="A17" sqref="A17"/>
    </sheetView>
  </sheetViews>
  <sheetFormatPr defaultRowHeight="15" x14ac:dyDescent="0.25"/>
  <cols>
    <col min="1" max="1" width="30.7109375" bestFit="1" customWidth="1"/>
    <col min="8" max="8" width="33.7109375" customWidth="1"/>
  </cols>
  <sheetData>
    <row r="1" spans="1:13" x14ac:dyDescent="0.25">
      <c r="A1" s="2" t="s">
        <v>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H1" s="2" t="s">
        <v>6</v>
      </c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</row>
    <row r="2" spans="1:13" x14ac:dyDescent="0.25">
      <c r="A2" t="s">
        <v>12</v>
      </c>
      <c r="B2">
        <v>-4879</v>
      </c>
      <c r="C2">
        <v>-4879</v>
      </c>
      <c r="D2">
        <v>-4613</v>
      </c>
      <c r="E2">
        <v>-2776</v>
      </c>
      <c r="F2">
        <v>-4879</v>
      </c>
      <c r="H2" t="s">
        <v>12</v>
      </c>
      <c r="I2">
        <v>-4879</v>
      </c>
      <c r="J2">
        <v>-4879</v>
      </c>
      <c r="K2">
        <v>-4613</v>
      </c>
      <c r="L2">
        <v>-2776</v>
      </c>
      <c r="M2">
        <v>-4879</v>
      </c>
    </row>
    <row r="3" spans="1:13" x14ac:dyDescent="0.25">
      <c r="A3" t="s">
        <v>14</v>
      </c>
      <c r="B3">
        <v>-368</v>
      </c>
      <c r="C3">
        <v>-2557</v>
      </c>
      <c r="D3">
        <v>-231</v>
      </c>
      <c r="E3">
        <v>0</v>
      </c>
      <c r="F3">
        <v>-787</v>
      </c>
      <c r="H3" t="s">
        <v>14</v>
      </c>
    </row>
    <row r="4" spans="1:13" x14ac:dyDescent="0.25">
      <c r="A4" t="s">
        <v>11</v>
      </c>
      <c r="B4">
        <v>-323</v>
      </c>
      <c r="C4">
        <v>-299</v>
      </c>
      <c r="D4">
        <v>-308</v>
      </c>
      <c r="E4">
        <v>-102</v>
      </c>
      <c r="F4">
        <v>-318</v>
      </c>
      <c r="H4" t="s">
        <v>11</v>
      </c>
      <c r="I4">
        <v>-323</v>
      </c>
      <c r="J4">
        <v>-299</v>
      </c>
      <c r="K4">
        <v>-308</v>
      </c>
      <c r="L4">
        <v>-102</v>
      </c>
      <c r="M4">
        <v>-318</v>
      </c>
    </row>
    <row r="5" spans="1:13" x14ac:dyDescent="0.25">
      <c r="A5" t="s">
        <v>15</v>
      </c>
      <c r="B5">
        <v>-114</v>
      </c>
      <c r="C5">
        <v>-114</v>
      </c>
      <c r="D5">
        <v>-118</v>
      </c>
      <c r="E5">
        <v>-103</v>
      </c>
      <c r="F5">
        <v>-114</v>
      </c>
      <c r="H5" t="s">
        <v>15</v>
      </c>
    </row>
    <row r="6" spans="1:13" x14ac:dyDescent="0.25">
      <c r="A6" t="s">
        <v>13</v>
      </c>
      <c r="B6">
        <v>0</v>
      </c>
      <c r="C6">
        <v>48</v>
      </c>
      <c r="D6">
        <v>0</v>
      </c>
      <c r="E6">
        <v>0</v>
      </c>
      <c r="F6">
        <v>305</v>
      </c>
      <c r="H6" t="s">
        <v>13</v>
      </c>
    </row>
    <row r="7" spans="1:13" x14ac:dyDescent="0.25">
      <c r="A7" t="s">
        <v>10</v>
      </c>
      <c r="B7">
        <v>0</v>
      </c>
      <c r="C7">
        <v>1080</v>
      </c>
      <c r="D7">
        <v>0</v>
      </c>
      <c r="E7">
        <v>0</v>
      </c>
      <c r="F7">
        <v>550</v>
      </c>
      <c r="H7" t="s">
        <v>10</v>
      </c>
    </row>
    <row r="8" spans="1:13" x14ac:dyDescent="0.25">
      <c r="A8" t="s">
        <v>9</v>
      </c>
      <c r="B8">
        <v>1685</v>
      </c>
      <c r="C8">
        <v>1685</v>
      </c>
      <c r="D8">
        <v>1504</v>
      </c>
      <c r="E8">
        <v>1251</v>
      </c>
      <c r="F8">
        <v>1990</v>
      </c>
      <c r="H8" t="s">
        <v>9</v>
      </c>
    </row>
    <row r="9" spans="1:13" x14ac:dyDescent="0.25">
      <c r="A9" t="s">
        <v>8</v>
      </c>
      <c r="B9">
        <v>1034</v>
      </c>
      <c r="C9">
        <v>1635</v>
      </c>
      <c r="D9">
        <v>1637</v>
      </c>
      <c r="E9">
        <v>1720</v>
      </c>
      <c r="F9">
        <v>674</v>
      </c>
      <c r="H9" t="s">
        <v>8</v>
      </c>
      <c r="I9">
        <v>1034</v>
      </c>
      <c r="J9">
        <v>1635</v>
      </c>
      <c r="K9">
        <v>1637</v>
      </c>
      <c r="L9">
        <v>1720</v>
      </c>
      <c r="M9">
        <v>674</v>
      </c>
    </row>
    <row r="10" spans="1:13" x14ac:dyDescent="0.25">
      <c r="A10" s="1" t="s">
        <v>7</v>
      </c>
      <c r="B10">
        <v>3957</v>
      </c>
      <c r="C10">
        <v>2780</v>
      </c>
      <c r="D10">
        <v>2673</v>
      </c>
      <c r="E10">
        <v>1312</v>
      </c>
      <c r="F10">
        <v>5552</v>
      </c>
      <c r="H10" s="1" t="s">
        <v>7</v>
      </c>
      <c r="I10">
        <v>3957</v>
      </c>
      <c r="J10">
        <v>2780</v>
      </c>
      <c r="K10">
        <v>2673</v>
      </c>
      <c r="L10">
        <v>1312</v>
      </c>
      <c r="M10">
        <v>5552</v>
      </c>
    </row>
    <row r="11" spans="1:13" x14ac:dyDescent="0.25">
      <c r="A11" s="3" t="s">
        <v>5</v>
      </c>
      <c r="B11" s="7">
        <f>SUM(B2:B10)</f>
        <v>992</v>
      </c>
      <c r="C11" s="7">
        <f t="shared" ref="C11:F11" si="0">SUM(C2:C10)</f>
        <v>-621</v>
      </c>
      <c r="D11" s="7">
        <f t="shared" si="0"/>
        <v>544</v>
      </c>
      <c r="E11" s="7">
        <f t="shared" si="0"/>
        <v>1302</v>
      </c>
      <c r="F11" s="7">
        <f t="shared" si="0"/>
        <v>2973</v>
      </c>
      <c r="H11" s="3" t="s">
        <v>5</v>
      </c>
      <c r="I11" s="7">
        <f>SUM(I2:I10)</f>
        <v>-211</v>
      </c>
      <c r="J11" s="7">
        <f t="shared" ref="J11" si="1">SUM(J2:J10)</f>
        <v>-763</v>
      </c>
      <c r="K11" s="7">
        <f t="shared" ref="K11" si="2">SUM(K2:K10)</f>
        <v>-611</v>
      </c>
      <c r="L11" s="7">
        <f t="shared" ref="L11" si="3">SUM(L2:L10)</f>
        <v>154</v>
      </c>
      <c r="M11" s="7">
        <f t="shared" ref="M11" si="4">SUM(M2:M10)</f>
        <v>1029</v>
      </c>
    </row>
    <row r="12" spans="1:13" ht="5.25" customHeight="1" x14ac:dyDescent="0.25">
      <c r="A12" s="4"/>
      <c r="B12" s="6"/>
      <c r="C12" s="6"/>
      <c r="D12" s="6"/>
      <c r="E12" s="6"/>
      <c r="F12" s="6"/>
      <c r="H12" s="4"/>
      <c r="I12" s="6"/>
      <c r="J12" s="6"/>
      <c r="K12" s="6"/>
      <c r="L12" s="6"/>
      <c r="M12" s="6"/>
    </row>
    <row r="13" spans="1:13" ht="15" customHeight="1" x14ac:dyDescent="0.25">
      <c r="A13" t="s">
        <v>16</v>
      </c>
      <c r="B13">
        <v>-2071</v>
      </c>
      <c r="C13">
        <v>-2071</v>
      </c>
      <c r="D13">
        <v>-1854</v>
      </c>
      <c r="E13">
        <v>-846</v>
      </c>
      <c r="F13">
        <v>-2071</v>
      </c>
      <c r="H13" t="s">
        <v>16</v>
      </c>
      <c r="I13">
        <v>-2071</v>
      </c>
      <c r="J13">
        <v>-2071</v>
      </c>
      <c r="K13">
        <v>-1854</v>
      </c>
      <c r="L13">
        <v>-846</v>
      </c>
      <c r="M13">
        <v>-2071</v>
      </c>
    </row>
    <row r="14" spans="1:13" x14ac:dyDescent="0.25">
      <c r="A14" t="s">
        <v>17</v>
      </c>
      <c r="B14">
        <v>2353</v>
      </c>
      <c r="C14">
        <v>-940</v>
      </c>
      <c r="D14">
        <v>-1836</v>
      </c>
      <c r="E14">
        <v>549</v>
      </c>
      <c r="F14">
        <v>-2828</v>
      </c>
      <c r="H14" t="s">
        <v>17</v>
      </c>
      <c r="I14">
        <v>2353</v>
      </c>
      <c r="J14">
        <v>-940</v>
      </c>
      <c r="K14">
        <v>-1836</v>
      </c>
      <c r="L14">
        <v>549</v>
      </c>
      <c r="M14">
        <v>-2828</v>
      </c>
    </row>
    <row r="15" spans="1:13" x14ac:dyDescent="0.25">
      <c r="A15" s="3" t="s">
        <v>5</v>
      </c>
      <c r="B15" s="7">
        <f>SUM(B11:B14)</f>
        <v>1274</v>
      </c>
      <c r="C15" s="7">
        <f t="shared" ref="C15:F15" si="5">SUM(C11:C14)</f>
        <v>-3632</v>
      </c>
      <c r="D15" s="7">
        <f t="shared" si="5"/>
        <v>-3146</v>
      </c>
      <c r="E15" s="7">
        <f t="shared" si="5"/>
        <v>1005</v>
      </c>
      <c r="F15" s="7">
        <f t="shared" si="5"/>
        <v>-1926</v>
      </c>
      <c r="H15" s="3" t="s">
        <v>5</v>
      </c>
      <c r="I15" s="7">
        <f>SUM(I11:I14)</f>
        <v>71</v>
      </c>
      <c r="J15" s="7">
        <f t="shared" ref="J15" si="6">SUM(J11:J14)</f>
        <v>-3774</v>
      </c>
      <c r="K15" s="7">
        <f t="shared" ref="K15" si="7">SUM(K11:K14)</f>
        <v>-4301</v>
      </c>
      <c r="L15" s="7">
        <f t="shared" ref="L15" si="8">SUM(L11:L14)</f>
        <v>-143</v>
      </c>
      <c r="M15" s="7">
        <f t="shared" ref="M15" si="9">SUM(M11:M14)</f>
        <v>-3870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F6DD-8CEE-4794-A478-3925ABAF4FCC}">
  <dimension ref="A1:F8"/>
  <sheetViews>
    <sheetView workbookViewId="0">
      <selection activeCell="C4" sqref="C4"/>
    </sheetView>
  </sheetViews>
  <sheetFormatPr defaultRowHeight="15" x14ac:dyDescent="0.25"/>
  <cols>
    <col min="2" max="5" width="18" customWidth="1"/>
  </cols>
  <sheetData>
    <row r="1" spans="1:6" ht="26.25" customHeight="1" x14ac:dyDescent="0.25"/>
    <row r="2" spans="1:6" ht="37.5" customHeight="1" x14ac:dyDescent="0.25">
      <c r="A2" s="13" t="s">
        <v>18</v>
      </c>
      <c r="B2" s="12" t="s">
        <v>21</v>
      </c>
      <c r="C2" s="12"/>
      <c r="D2" s="12" t="s">
        <v>22</v>
      </c>
      <c r="E2" s="12"/>
    </row>
    <row r="3" spans="1:6" x14ac:dyDescent="0.25">
      <c r="A3" s="13"/>
      <c r="B3" t="s">
        <v>19</v>
      </c>
      <c r="C3" t="s">
        <v>20</v>
      </c>
      <c r="D3" t="s">
        <v>19</v>
      </c>
      <c r="E3" t="s">
        <v>20</v>
      </c>
      <c r="F3" t="s">
        <v>18</v>
      </c>
    </row>
    <row r="4" spans="1:6" x14ac:dyDescent="0.25">
      <c r="A4">
        <v>1</v>
      </c>
      <c r="B4" s="8">
        <v>2.35E-2</v>
      </c>
      <c r="C4" s="8">
        <v>4.3970000000000065E-2</v>
      </c>
      <c r="D4" s="8">
        <v>2.1000000000000001E-2</v>
      </c>
      <c r="E4" s="8">
        <v>4.1420000000000012E-2</v>
      </c>
      <c r="F4">
        <v>1</v>
      </c>
    </row>
    <row r="5" spans="1:6" x14ac:dyDescent="0.25">
      <c r="A5">
        <v>2</v>
      </c>
      <c r="B5" s="8">
        <v>1.2E-2</v>
      </c>
      <c r="C5" s="8">
        <v>3.2240000000000046E-2</v>
      </c>
      <c r="D5" s="8">
        <v>1.2E-2</v>
      </c>
      <c r="E5" s="8">
        <v>3.2240000000000046E-2</v>
      </c>
      <c r="F5">
        <v>2</v>
      </c>
    </row>
    <row r="6" spans="1:6" x14ac:dyDescent="0.25">
      <c r="A6">
        <v>3</v>
      </c>
      <c r="B6" s="8">
        <v>1.15E-2</v>
      </c>
      <c r="C6" s="8">
        <v>3.1730000000000036E-2</v>
      </c>
      <c r="D6" s="8">
        <v>9.0000000000000011E-3</v>
      </c>
      <c r="E6" s="8">
        <v>2.9179999999999984E-2</v>
      </c>
      <c r="F6">
        <v>3</v>
      </c>
    </row>
    <row r="7" spans="1:6" x14ac:dyDescent="0.25">
      <c r="A7">
        <v>4</v>
      </c>
      <c r="B7" s="8">
        <v>2.4E-2</v>
      </c>
      <c r="C7" s="8">
        <v>4.4480000000000075E-2</v>
      </c>
      <c r="D7" s="8">
        <v>1.8000000000000002E-2</v>
      </c>
      <c r="E7" s="8">
        <v>3.835999999999995E-2</v>
      </c>
      <c r="F7">
        <v>4</v>
      </c>
    </row>
    <row r="8" spans="1:6" x14ac:dyDescent="0.25">
      <c r="A8">
        <v>5</v>
      </c>
      <c r="B8" s="8">
        <v>1.4499999999999999E-2</v>
      </c>
      <c r="C8" s="8">
        <v>3.4789999999999877E-2</v>
      </c>
      <c r="D8" s="8">
        <v>0.01</v>
      </c>
      <c r="E8" s="8">
        <v>3.0200000000000005E-2</v>
      </c>
      <c r="F8">
        <v>5</v>
      </c>
    </row>
  </sheetData>
  <sortState xmlns:xlrd2="http://schemas.microsoft.com/office/spreadsheetml/2017/richdata2" ref="D4:F8">
    <sortCondition ref="F4:F8"/>
  </sortState>
  <mergeCells count="3">
    <mergeCell ref="B2:C2"/>
    <mergeCell ref="D2:E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9EAE-71CA-41F3-A399-EC363BD1617F}">
  <dimension ref="A7:I31"/>
  <sheetViews>
    <sheetView workbookViewId="0">
      <selection activeCell="N16" sqref="N16"/>
    </sheetView>
  </sheetViews>
  <sheetFormatPr defaultRowHeight="15" x14ac:dyDescent="0.25"/>
  <cols>
    <col min="1" max="1" width="5.140625" customWidth="1"/>
    <col min="2" max="2" width="16.42578125" customWidth="1"/>
    <col min="3" max="3" width="6.5703125" customWidth="1"/>
    <col min="4" max="8" width="11.140625" customWidth="1"/>
    <col min="9" max="9" width="12.140625" customWidth="1"/>
  </cols>
  <sheetData>
    <row r="7" spans="1:8" s="10" customFormat="1" ht="47.25" customHeight="1" x14ac:dyDescent="0.25">
      <c r="A7" s="14" t="s">
        <v>23</v>
      </c>
      <c r="B7" s="14"/>
      <c r="C7" s="11" t="s">
        <v>32</v>
      </c>
      <c r="D7" s="11" t="s">
        <v>28</v>
      </c>
      <c r="E7" s="11" t="s">
        <v>27</v>
      </c>
      <c r="F7" s="11" t="s">
        <v>34</v>
      </c>
      <c r="G7" s="11" t="s">
        <v>19</v>
      </c>
      <c r="H7" s="11" t="s">
        <v>33</v>
      </c>
    </row>
    <row r="8" spans="1:8" x14ac:dyDescent="0.25">
      <c r="A8" t="s">
        <v>29</v>
      </c>
      <c r="B8" t="s">
        <v>24</v>
      </c>
      <c r="C8">
        <v>45</v>
      </c>
      <c r="D8" s="9">
        <v>828.12584892518817</v>
      </c>
      <c r="E8" s="9">
        <v>-172.39037037037036</v>
      </c>
      <c r="F8" s="9">
        <v>9312.558169915912</v>
      </c>
      <c r="G8" s="8">
        <v>3.15E-2</v>
      </c>
      <c r="H8" s="8">
        <v>5.213000000000001E-2</v>
      </c>
    </row>
    <row r="9" spans="1:8" x14ac:dyDescent="0.25">
      <c r="A9" t="s">
        <v>29</v>
      </c>
      <c r="B9" t="s">
        <v>26</v>
      </c>
      <c r="C9">
        <v>61</v>
      </c>
      <c r="D9" s="9">
        <v>647.34070710523622</v>
      </c>
      <c r="E9" s="9">
        <v>-136.35355191256832</v>
      </c>
      <c r="F9" s="9">
        <v>5820.4234874156946</v>
      </c>
      <c r="G9" s="8">
        <v>2.3500000000000004E-2</v>
      </c>
      <c r="H9" s="8">
        <v>4.3970000000000065E-2</v>
      </c>
    </row>
    <row r="10" spans="1:8" x14ac:dyDescent="0.25">
      <c r="A10" t="s">
        <v>29</v>
      </c>
      <c r="B10" t="s">
        <v>31</v>
      </c>
      <c r="C10">
        <v>54</v>
      </c>
      <c r="D10" s="9">
        <v>812.81556575498644</v>
      </c>
      <c r="E10" s="9">
        <v>-220.16851851851854</v>
      </c>
      <c r="F10" s="9">
        <v>5807.8447915296438</v>
      </c>
      <c r="G10" s="8">
        <v>2.3400000000000001E-2</v>
      </c>
      <c r="H10" s="8">
        <v>4.3868000000000018E-2</v>
      </c>
    </row>
    <row r="11" spans="1:8" x14ac:dyDescent="0.25">
      <c r="A11" t="s">
        <v>30</v>
      </c>
      <c r="B11" t="s">
        <v>24</v>
      </c>
      <c r="C11">
        <v>76</v>
      </c>
      <c r="D11" s="9">
        <v>578.90016253229714</v>
      </c>
      <c r="E11" s="9">
        <v>-131.60260416666668</v>
      </c>
      <c r="F11" s="9">
        <v>4677.5244813520567</v>
      </c>
      <c r="G11" s="8">
        <v>2.1700000000000001E-2</v>
      </c>
      <c r="H11" s="8">
        <v>4.2134000000000116E-2</v>
      </c>
    </row>
    <row r="12" spans="1:8" x14ac:dyDescent="0.25">
      <c r="A12" t="s">
        <v>30</v>
      </c>
      <c r="B12" t="s">
        <v>31</v>
      </c>
      <c r="C12">
        <v>78</v>
      </c>
      <c r="D12" s="9">
        <v>599.06821812997248</v>
      </c>
      <c r="E12" s="9">
        <v>-133.8982905982906</v>
      </c>
      <c r="F12" s="9">
        <v>3491.4643714912163</v>
      </c>
      <c r="G12" s="8">
        <v>1.9400000000000001E-2</v>
      </c>
      <c r="H12" s="8">
        <v>3.9788000000000157E-2</v>
      </c>
    </row>
    <row r="13" spans="1:8" x14ac:dyDescent="0.25">
      <c r="A13" t="s">
        <v>30</v>
      </c>
      <c r="B13" t="s">
        <v>25</v>
      </c>
      <c r="C13">
        <v>46</v>
      </c>
      <c r="D13" s="9">
        <v>241.27273299536532</v>
      </c>
      <c r="E13" s="9">
        <v>-169.40362318840579</v>
      </c>
      <c r="F13" s="9">
        <v>-1738.9983441095919</v>
      </c>
      <c r="G13" s="8">
        <v>6.1000000000000004E-3</v>
      </c>
      <c r="H13" s="8">
        <v>2.6221999999999968E-2</v>
      </c>
    </row>
    <row r="26" spans="5:9" x14ac:dyDescent="0.25">
      <c r="E26" t="s">
        <v>35</v>
      </c>
      <c r="F26" t="s">
        <v>36</v>
      </c>
      <c r="G26">
        <v>-6638.1093162560937</v>
      </c>
      <c r="H26">
        <v>15950.667486172006</v>
      </c>
      <c r="I26">
        <f>H26+G26</f>
        <v>9312.558169915912</v>
      </c>
    </row>
    <row r="27" spans="5:9" x14ac:dyDescent="0.25">
      <c r="E27" t="s">
        <v>35</v>
      </c>
      <c r="F27" t="s">
        <v>37</v>
      </c>
      <c r="G27">
        <v>-6833.0429693706565</v>
      </c>
      <c r="H27">
        <v>12653.466456786351</v>
      </c>
      <c r="I27">
        <f t="shared" ref="I27:I31" si="0">H27+G27</f>
        <v>5820.4234874156946</v>
      </c>
    </row>
    <row r="28" spans="5:9" x14ac:dyDescent="0.25">
      <c r="E28" t="s">
        <v>35</v>
      </c>
      <c r="F28" t="s">
        <v>38</v>
      </c>
      <c r="G28">
        <v>-10212.631553356334</v>
      </c>
      <c r="H28">
        <v>16020.476344885978</v>
      </c>
      <c r="I28">
        <f t="shared" si="0"/>
        <v>5807.8447915296438</v>
      </c>
    </row>
    <row r="29" spans="5:9" x14ac:dyDescent="0.25">
      <c r="E29" t="s">
        <v>39</v>
      </c>
      <c r="F29" t="s">
        <v>36</v>
      </c>
      <c r="G29">
        <v>-6667.7742306647397</v>
      </c>
      <c r="H29">
        <v>11345.298712016796</v>
      </c>
      <c r="I29">
        <f t="shared" si="0"/>
        <v>4677.5244813520567</v>
      </c>
    </row>
    <row r="30" spans="5:9" x14ac:dyDescent="0.25">
      <c r="E30" t="s">
        <v>39</v>
      </c>
      <c r="F30" t="s">
        <v>41</v>
      </c>
      <c r="G30">
        <v>-8013.7995626661468</v>
      </c>
      <c r="H30">
        <v>11505.263934157363</v>
      </c>
      <c r="I30">
        <f t="shared" si="0"/>
        <v>3491.4643714912163</v>
      </c>
    </row>
    <row r="31" spans="5:9" x14ac:dyDescent="0.25">
      <c r="E31" t="s">
        <v>39</v>
      </c>
      <c r="F31" t="s">
        <v>40</v>
      </c>
      <c r="G31">
        <v>-6456.7556866545037</v>
      </c>
      <c r="H31">
        <v>4717.7573425449118</v>
      </c>
      <c r="I31">
        <f t="shared" si="0"/>
        <v>-1738.9983441095919</v>
      </c>
    </row>
  </sheetData>
  <sortState xmlns:xlrd2="http://schemas.microsoft.com/office/spreadsheetml/2017/richdata2" ref="A8:H13">
    <sortCondition descending="1" ref="H8:H13"/>
  </sortState>
  <mergeCells count="1">
    <mergeCell ref="A7:B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8F4F52-7114-4653-9A3D-822C40997DB9}"/>
</file>

<file path=customXml/itemProps2.xml><?xml version="1.0" encoding="utf-8"?>
<ds:datastoreItem xmlns:ds="http://schemas.openxmlformats.org/officeDocument/2006/customXml" ds:itemID="{E4E6E28E-DB56-48EF-8BE9-7F0AC69BE7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4A2577-AFFB-4261-9C07-078CAFC6556C}">
  <ds:schemaRefs>
    <ds:schemaRef ds:uri="http://schemas.microsoft.com/office/2006/metadata/properties"/>
    <ds:schemaRef ds:uri="http://schemas.microsoft.com/office/infopath/2007/PartnerControls"/>
    <ds:schemaRef ds:uri="aad19e44-66bb-48cb-9d5c-a59f7b5db471"/>
    <ds:schemaRef ds:uri="5785a5e1-32c4-4f65-af10-eebc16574a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2025-02-24T08:24:18Z</dcterms:created>
  <dcterms:modified xsi:type="dcterms:W3CDTF">2025-02-27T08:19:28Z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  <property fmtid="{D5CDD505-2E9C-101B-9397-08002B2CF9AE}" pid="3" name="MediaServiceImageTags">
    <vt:lpwstr/>
  </property>
</Properties>
</file>