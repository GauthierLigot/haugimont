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4_ANALYSE ECONOMIQUE/6_paper/"/>
    </mc:Choice>
  </mc:AlternateContent>
  <xr:revisionPtr revIDLastSave="0" documentId="8_{9C5C8084-6DCC-4E6D-86B7-58672ED224EC}" xr6:coauthVersionLast="47" xr6:coauthVersionMax="47" xr10:uidLastSave="{00000000-0000-0000-0000-000000000000}"/>
  <bookViews>
    <workbookView xWindow="38280" yWindow="-120" windowWidth="29040" windowHeight="15720" xr2:uid="{E49F7C1F-363C-4118-8903-2A530B3FF760}"/>
  </bookViews>
  <sheets>
    <sheet name="Feuil1" sheetId="1" r:id="rId1"/>
    <sheet name="cas théorique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F17" i="2"/>
  <c r="F16" i="2"/>
  <c r="I5" i="2"/>
  <c r="I6" i="2"/>
  <c r="I7" i="2"/>
  <c r="I8" i="2"/>
  <c r="I9" i="2"/>
  <c r="I10" i="2"/>
  <c r="I11" i="2"/>
  <c r="I12" i="2"/>
  <c r="I13" i="2"/>
  <c r="I14" i="2"/>
  <c r="I4" i="2"/>
  <c r="H4" i="2"/>
  <c r="H5" i="2"/>
  <c r="H6" i="2"/>
  <c r="H7" i="2"/>
  <c r="H8" i="2"/>
  <c r="H9" i="2"/>
  <c r="H10" i="2"/>
  <c r="H11" i="2"/>
  <c r="H12" i="2"/>
  <c r="H13" i="2"/>
  <c r="H14" i="2"/>
  <c r="C5" i="2"/>
  <c r="C4" i="2"/>
  <c r="C7" i="2" s="1"/>
  <c r="C8" i="2" s="1"/>
  <c r="F4" i="2" s="1"/>
  <c r="G4" i="2" s="1"/>
  <c r="F5" i="2" s="1"/>
  <c r="G5" i="2" s="1"/>
  <c r="F6" i="2" s="1"/>
  <c r="G6" i="2" s="1"/>
  <c r="F7" i="2" s="1"/>
  <c r="G7" i="2" s="1"/>
  <c r="F8" i="2" s="1"/>
  <c r="G8" i="2" s="1"/>
  <c r="F9" i="2" s="1"/>
  <c r="G9" i="2" s="1"/>
  <c r="F10" i="2" s="1"/>
  <c r="G10" i="2" s="1"/>
  <c r="F11" i="2" s="1"/>
  <c r="G11" i="2" s="1"/>
  <c r="F12" i="2" s="1"/>
  <c r="G12" i="2" s="1"/>
  <c r="F13" i="2" s="1"/>
  <c r="G13" i="2" s="1"/>
  <c r="F14" i="2" s="1"/>
  <c r="G14" i="2" s="1"/>
  <c r="AA37" i="1"/>
  <c r="V22" i="1"/>
  <c r="AA22" i="1" s="1"/>
  <c r="V23" i="1"/>
  <c r="AA23" i="1" s="1"/>
  <c r="V24" i="1"/>
  <c r="V25" i="1"/>
  <c r="V26" i="1"/>
  <c r="AA26" i="1" s="1"/>
  <c r="V27" i="1"/>
  <c r="AA27" i="1" s="1"/>
  <c r="V28" i="1"/>
  <c r="AA28" i="1" s="1"/>
  <c r="V29" i="1"/>
  <c r="V30" i="1"/>
  <c r="V31" i="1"/>
  <c r="V32" i="1"/>
  <c r="V33" i="1"/>
  <c r="AA33" i="1" s="1"/>
  <c r="V21" i="1"/>
  <c r="AA21" i="1" s="1"/>
  <c r="AA25" i="1"/>
  <c r="AA29" i="1"/>
  <c r="AA30" i="1"/>
  <c r="AA31" i="1"/>
  <c r="V7" i="1"/>
  <c r="AA7" i="1" s="1"/>
  <c r="V8" i="1"/>
  <c r="V9" i="1"/>
  <c r="V10" i="1"/>
  <c r="V11" i="1"/>
  <c r="AA11" i="1" s="1"/>
  <c r="V12" i="1"/>
  <c r="AA12" i="1" s="1"/>
  <c r="V13" i="1"/>
  <c r="V14" i="1"/>
  <c r="V15" i="1"/>
  <c r="V16" i="1"/>
  <c r="V17" i="1"/>
  <c r="AA17" i="1" s="1"/>
  <c r="V18" i="1"/>
  <c r="AA18" i="1" s="1"/>
  <c r="V19" i="1"/>
  <c r="AA19" i="1" s="1"/>
  <c r="V20" i="1"/>
  <c r="AA24" i="1"/>
  <c r="V6" i="1"/>
  <c r="AA32" i="1"/>
  <c r="AA20" i="1"/>
  <c r="AA16" i="1"/>
  <c r="AA15" i="1"/>
  <c r="AA14" i="1"/>
  <c r="AA13" i="1"/>
  <c r="AA10" i="1"/>
  <c r="AA9" i="1"/>
  <c r="AA8" i="1"/>
  <c r="AA6" i="1"/>
  <c r="P36" i="1"/>
  <c r="O36" i="1"/>
  <c r="N6" i="1"/>
  <c r="H37" i="1"/>
  <c r="H3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6" i="1"/>
  <c r="O7" i="1"/>
  <c r="O6" i="1"/>
  <c r="AA36" i="1" l="1"/>
  <c r="N7" i="1"/>
  <c r="N8" i="1" l="1"/>
  <c r="O8" i="1"/>
  <c r="N9" i="1" l="1"/>
  <c r="O9" i="1"/>
  <c r="N10" i="1" l="1"/>
  <c r="O10" i="1"/>
  <c r="N11" i="1" l="1"/>
  <c r="O11" i="1"/>
  <c r="N12" i="1" l="1"/>
  <c r="O12" i="1"/>
  <c r="N13" i="1" l="1"/>
  <c r="O13" i="1"/>
  <c r="N14" i="1" l="1"/>
  <c r="O14" i="1"/>
  <c r="N15" i="1" l="1"/>
  <c r="O15" i="1"/>
  <c r="N16" i="1" l="1"/>
  <c r="O16" i="1"/>
  <c r="N17" i="1" l="1"/>
  <c r="O17" i="1"/>
  <c r="N18" i="1" l="1"/>
  <c r="O18" i="1"/>
  <c r="N19" i="1" l="1"/>
  <c r="O19" i="1"/>
  <c r="N20" i="1" l="1"/>
  <c r="O20" i="1"/>
  <c r="N21" i="1" l="1"/>
  <c r="O21" i="1"/>
  <c r="N22" i="1" l="1"/>
  <c r="O22" i="1"/>
  <c r="N23" i="1" l="1"/>
  <c r="O23" i="1"/>
  <c r="N24" i="1" l="1"/>
  <c r="O24" i="1"/>
  <c r="N25" i="1" l="1"/>
  <c r="O25" i="1"/>
  <c r="N26" i="1" l="1"/>
  <c r="O26" i="1"/>
  <c r="N27" i="1" l="1"/>
  <c r="O27" i="1"/>
</calcChain>
</file>

<file path=xl/sharedStrings.xml><?xml version="1.0" encoding="utf-8"?>
<sst xmlns="http://schemas.openxmlformats.org/spreadsheetml/2006/main" count="262" uniqueCount="37">
  <si>
    <t>label</t>
  </si>
  <si>
    <t>category</t>
  </si>
  <si>
    <t>year</t>
  </si>
  <si>
    <t>isIncome</t>
  </si>
  <si>
    <t>value</t>
  </si>
  <si>
    <t>volume</t>
  </si>
  <si>
    <t>net</t>
  </si>
  <si>
    <t>Mulching</t>
  </si>
  <si>
    <t>Regeneration</t>
  </si>
  <si>
    <t>FALSE</t>
  </si>
  <si>
    <t>NA</t>
  </si>
  <si>
    <t>Seedlings</t>
  </si>
  <si>
    <t>Planting</t>
  </si>
  <si>
    <t>Management</t>
  </si>
  <si>
    <t>Clearing</t>
  </si>
  <si>
    <t>Pruning</t>
  </si>
  <si>
    <t>Cut</t>
  </si>
  <si>
    <t>Timber sales</t>
  </si>
  <si>
    <t>TRUE</t>
  </si>
  <si>
    <t>Final cut</t>
  </si>
  <si>
    <t>Somme de net</t>
  </si>
  <si>
    <t>Étiquettes de lignes</t>
  </si>
  <si>
    <t>Total général</t>
  </si>
  <si>
    <t>va</t>
  </si>
  <si>
    <t>r</t>
  </si>
  <si>
    <t>NPVn</t>
  </si>
  <si>
    <t>NPVinf</t>
  </si>
  <si>
    <t>V(t=a)</t>
  </si>
  <si>
    <t>V(t=a*)</t>
  </si>
  <si>
    <t>NPVinf FR</t>
  </si>
  <si>
    <t>5*</t>
  </si>
  <si>
    <t>0*</t>
  </si>
  <si>
    <t>V(t)</t>
  </si>
  <si>
    <t>V(t*)</t>
  </si>
  <si>
    <t>td</t>
  </si>
  <si>
    <t>tr</t>
  </si>
  <si>
    <t>fully regulated 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</si>
</sst>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hier Ligot" refreshedDate="46128.552448842594" createdVersion="8" refreshedVersion="8" minRefreshableVersion="3" recordCount="28" xr:uid="{93E4A8C6-131F-4492-8374-405B6D46DB3D}">
  <cacheSource type="worksheet">
    <worksheetSource ref="A5:G33" sheet="Feuil1"/>
  </cacheSource>
  <cacheFields count="7">
    <cacheField name="label" numFmtId="0">
      <sharedItems/>
    </cacheField>
    <cacheField name="category" numFmtId="0">
      <sharedItems/>
    </cacheField>
    <cacheField name="year" numFmtId="0">
      <sharedItems containsSemiMixedTypes="0" containsString="0" containsNumber="1" containsInteger="1" minValue="0" maxValue="21" count="2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</sharedItems>
    </cacheField>
    <cacheField name="isIncome" numFmtId="0">
      <sharedItems/>
    </cacheField>
    <cacheField name="value" numFmtId="0">
      <sharedItems containsSemiMixedTypes="0" containsString="0" containsNumber="1" minValue="35" maxValue="6672.4720877649997"/>
    </cacheField>
    <cacheField name="volume" numFmtId="0">
      <sharedItems containsMixedTypes="1" containsNumber="1" minValue="45.119334783660399" maxValue="260.883803045599"/>
    </cacheField>
    <cacheField name="net" numFmtId="0">
      <sharedItems containsSemiMixedTypes="0" containsString="0" containsNumber="1" minValue="-2032" maxValue="6672.472087764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Mulching"/>
    <s v="Regeneration"/>
    <x v="0"/>
    <s v="FALSE"/>
    <n v="1238"/>
    <s v="NA"/>
    <n v="-1238"/>
  </r>
  <r>
    <s v="Seedlings"/>
    <s v="Regeneration"/>
    <x v="0"/>
    <s v="FALSE"/>
    <n v="1040"/>
    <s v="NA"/>
    <n v="-1040"/>
  </r>
  <r>
    <s v="Planting"/>
    <s v="Regeneration"/>
    <x v="0"/>
    <s v="FALSE"/>
    <n v="929.06666666666695"/>
    <s v="NA"/>
    <n v="-929.06666666666695"/>
  </r>
  <r>
    <s v="Management"/>
    <s v="Management"/>
    <x v="1"/>
    <s v="FALSE"/>
    <n v="35"/>
    <s v="NA"/>
    <n v="-35"/>
  </r>
  <r>
    <s v="Management"/>
    <s v="Management"/>
    <x v="2"/>
    <s v="FALSE"/>
    <n v="35"/>
    <s v="NA"/>
    <n v="-35"/>
  </r>
  <r>
    <s v="Clearing"/>
    <s v="Regeneration"/>
    <x v="3"/>
    <s v="FALSE"/>
    <n v="943.5"/>
    <s v="NA"/>
    <n v="-943.5"/>
  </r>
  <r>
    <s v="Management"/>
    <s v="Management"/>
    <x v="3"/>
    <s v="FALSE"/>
    <n v="35"/>
    <s v="NA"/>
    <n v="-35"/>
  </r>
  <r>
    <s v="Management"/>
    <s v="Management"/>
    <x v="4"/>
    <s v="FALSE"/>
    <n v="35"/>
    <s v="NA"/>
    <n v="-35"/>
  </r>
  <r>
    <s v="Management"/>
    <s v="Management"/>
    <x v="5"/>
    <s v="FALSE"/>
    <n v="35"/>
    <s v="NA"/>
    <n v="-35"/>
  </r>
  <r>
    <s v="Management"/>
    <s v="Management"/>
    <x v="6"/>
    <s v="FALSE"/>
    <n v="35"/>
    <s v="NA"/>
    <n v="-35"/>
  </r>
  <r>
    <s v="Management"/>
    <s v="Management"/>
    <x v="7"/>
    <s v="FALSE"/>
    <n v="35"/>
    <s v="NA"/>
    <n v="-35"/>
  </r>
  <r>
    <s v="Management"/>
    <s v="Management"/>
    <x v="8"/>
    <s v="FALSE"/>
    <n v="35"/>
    <s v="NA"/>
    <n v="-35"/>
  </r>
  <r>
    <s v="Management"/>
    <s v="Management"/>
    <x v="9"/>
    <s v="FALSE"/>
    <n v="35"/>
    <s v="NA"/>
    <n v="-35"/>
  </r>
  <r>
    <s v="Management"/>
    <s v="Management"/>
    <x v="10"/>
    <s v="FALSE"/>
    <n v="35"/>
    <s v="NA"/>
    <n v="-35"/>
  </r>
  <r>
    <s v="Management"/>
    <s v="Management"/>
    <x v="11"/>
    <s v="FALSE"/>
    <n v="35"/>
    <s v="NA"/>
    <n v="-35"/>
  </r>
  <r>
    <s v="Management"/>
    <s v="Management"/>
    <x v="12"/>
    <s v="FALSE"/>
    <n v="35"/>
    <s v="NA"/>
    <n v="-35"/>
  </r>
  <r>
    <s v="Management"/>
    <s v="Management"/>
    <x v="13"/>
    <s v="FALSE"/>
    <n v="35"/>
    <s v="NA"/>
    <n v="-35"/>
  </r>
  <r>
    <s v="Management"/>
    <s v="Management"/>
    <x v="14"/>
    <s v="FALSE"/>
    <n v="35"/>
    <s v="NA"/>
    <n v="-35"/>
  </r>
  <r>
    <s v="Pruning"/>
    <s v="Regeneration"/>
    <x v="15"/>
    <s v="FALSE"/>
    <n v="2032"/>
    <s v="NA"/>
    <n v="-2032"/>
  </r>
  <r>
    <s v="Cut"/>
    <s v="Timber sales"/>
    <x v="15"/>
    <s v="TRUE"/>
    <n v="323.22478902596202"/>
    <n v="45.119334783660399"/>
    <n v="323.22478902596202"/>
  </r>
  <r>
    <s v="Management"/>
    <s v="Management"/>
    <x v="15"/>
    <s v="FALSE"/>
    <n v="35"/>
    <s v="NA"/>
    <n v="-35"/>
  </r>
  <r>
    <s v="Management"/>
    <s v="Management"/>
    <x v="16"/>
    <s v="FALSE"/>
    <n v="35"/>
    <s v="NA"/>
    <n v="-35"/>
  </r>
  <r>
    <s v="Management"/>
    <s v="Management"/>
    <x v="17"/>
    <s v="FALSE"/>
    <n v="35"/>
    <s v="NA"/>
    <n v="-35"/>
  </r>
  <r>
    <s v="Management"/>
    <s v="Management"/>
    <x v="18"/>
    <s v="FALSE"/>
    <n v="35"/>
    <s v="NA"/>
    <n v="-35"/>
  </r>
  <r>
    <s v="Management"/>
    <s v="Management"/>
    <x v="19"/>
    <s v="FALSE"/>
    <n v="35"/>
    <s v="NA"/>
    <n v="-35"/>
  </r>
  <r>
    <s v="Management"/>
    <s v="Management"/>
    <x v="20"/>
    <s v="FALSE"/>
    <n v="35"/>
    <s v="NA"/>
    <n v="-35"/>
  </r>
  <r>
    <s v="Final cut"/>
    <s v="Timber sales"/>
    <x v="21"/>
    <s v="TRUE"/>
    <n v="6672.4720877649997"/>
    <n v="260.883803045599"/>
    <n v="6672.4720877649997"/>
  </r>
  <r>
    <s v="Management"/>
    <s v="Management"/>
    <x v="21"/>
    <s v="FALSE"/>
    <n v="35"/>
    <s v="NA"/>
    <n v="-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301DC-249D-4C8A-8C50-A21C7A90FA41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L5:M28" firstHeaderRow="1" firstDataRow="1" firstDataCol="1"/>
  <pivotFields count="7"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omme de ne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F991-3E22-4270-AB1B-85231F4DAEAC}">
  <dimension ref="A1:AA37"/>
  <sheetViews>
    <sheetView tabSelected="1" workbookViewId="0">
      <selection activeCell="B3" sqref="B3"/>
    </sheetView>
  </sheetViews>
  <sheetFormatPr baseColWidth="10" defaultRowHeight="15" x14ac:dyDescent="0.25"/>
  <cols>
    <col min="12" max="12" width="21.42578125" bestFit="1" customWidth="1"/>
    <col min="13" max="13" width="14" bestFit="1" customWidth="1"/>
  </cols>
  <sheetData>
    <row r="1" spans="1:27" x14ac:dyDescent="0.25">
      <c r="A1" t="s">
        <v>24</v>
      </c>
      <c r="B1">
        <v>0.02</v>
      </c>
    </row>
    <row r="5" spans="1:2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23</v>
      </c>
      <c r="L5" s="2" t="s">
        <v>21</v>
      </c>
      <c r="M5" t="s">
        <v>20</v>
      </c>
      <c r="N5" t="s">
        <v>27</v>
      </c>
      <c r="O5" t="s">
        <v>28</v>
      </c>
      <c r="T5" t="s">
        <v>0</v>
      </c>
      <c r="U5" t="s">
        <v>1</v>
      </c>
      <c r="V5" t="s">
        <v>2</v>
      </c>
      <c r="W5" t="s">
        <v>3</v>
      </c>
      <c r="X5" t="s">
        <v>4</v>
      </c>
      <c r="Y5" t="s">
        <v>5</v>
      </c>
      <c r="Z5" t="s">
        <v>6</v>
      </c>
      <c r="AA5" t="s">
        <v>23</v>
      </c>
    </row>
    <row r="6" spans="1:27" x14ac:dyDescent="0.25">
      <c r="A6" t="s">
        <v>7</v>
      </c>
      <c r="B6" t="s">
        <v>8</v>
      </c>
      <c r="C6">
        <v>0</v>
      </c>
      <c r="D6" t="s">
        <v>9</v>
      </c>
      <c r="E6">
        <v>1238</v>
      </c>
      <c r="F6" t="s">
        <v>10</v>
      </c>
      <c r="G6">
        <v>-1238</v>
      </c>
      <c r="H6">
        <f>G6/(1+$B$1)^C6</f>
        <v>-1238</v>
      </c>
      <c r="L6" s="3">
        <v>0</v>
      </c>
      <c r="M6" s="1">
        <v>-3207.0666666666671</v>
      </c>
      <c r="N6">
        <f>H37</f>
        <v>-4581.8305023698103</v>
      </c>
      <c r="O6">
        <f>N6-GETPIVOTDATA("net",$L$5,"year",L6)</f>
        <v>-1374.7638357031433</v>
      </c>
      <c r="T6" t="s">
        <v>7</v>
      </c>
      <c r="U6" t="s">
        <v>8</v>
      </c>
      <c r="V6">
        <f>C6+10</f>
        <v>10</v>
      </c>
      <c r="W6" t="s">
        <v>9</v>
      </c>
      <c r="X6">
        <v>1238</v>
      </c>
      <c r="Y6" t="s">
        <v>10</v>
      </c>
      <c r="Z6">
        <v>-1238</v>
      </c>
      <c r="AA6">
        <f>Z6/(1+$B$1)^V6</f>
        <v>-1015.5911952454422</v>
      </c>
    </row>
    <row r="7" spans="1:27" x14ac:dyDescent="0.25">
      <c r="A7" t="s">
        <v>11</v>
      </c>
      <c r="B7" t="s">
        <v>8</v>
      </c>
      <c r="C7">
        <v>0</v>
      </c>
      <c r="D7" t="s">
        <v>9</v>
      </c>
      <c r="E7">
        <v>1040</v>
      </c>
      <c r="F7" t="s">
        <v>10</v>
      </c>
      <c r="G7">
        <v>-1040</v>
      </c>
      <c r="H7">
        <f t="shared" ref="H7:H33" si="0">G7/(1+$B$1)^C7</f>
        <v>-1040</v>
      </c>
      <c r="L7" s="3">
        <v>1</v>
      </c>
      <c r="M7" s="1">
        <v>-35</v>
      </c>
      <c r="N7">
        <f>O6*(1+$B$1)</f>
        <v>-1402.2591124172061</v>
      </c>
      <c r="O7">
        <f t="shared" ref="O7:O27" si="1">N7-GETPIVOTDATA("net",$L$5,"year",L7)</f>
        <v>-1367.2591124172061</v>
      </c>
      <c r="T7" t="s">
        <v>11</v>
      </c>
      <c r="U7" t="s">
        <v>8</v>
      </c>
      <c r="V7">
        <f t="shared" ref="V7:V33" si="2">C7+10</f>
        <v>10</v>
      </c>
      <c r="W7" t="s">
        <v>9</v>
      </c>
      <c r="X7">
        <v>1040</v>
      </c>
      <c r="Y7" t="s">
        <v>10</v>
      </c>
      <c r="Z7">
        <v>-1040</v>
      </c>
      <c r="AA7">
        <f t="shared" ref="AA7:AA33" si="3">Z7/(1+$B$1)^V7</f>
        <v>-853.16223187016146</v>
      </c>
    </row>
    <row r="8" spans="1:27" x14ac:dyDescent="0.25">
      <c r="A8" t="s">
        <v>12</v>
      </c>
      <c r="B8" t="s">
        <v>8</v>
      </c>
      <c r="C8">
        <v>0</v>
      </c>
      <c r="D8" t="s">
        <v>9</v>
      </c>
      <c r="E8">
        <v>929.06666666666695</v>
      </c>
      <c r="F8" t="s">
        <v>10</v>
      </c>
      <c r="G8">
        <v>-929.06666666666695</v>
      </c>
      <c r="H8">
        <f t="shared" si="0"/>
        <v>-929.06666666666695</v>
      </c>
      <c r="L8" s="3">
        <v>2</v>
      </c>
      <c r="M8" s="1">
        <v>-35</v>
      </c>
      <c r="N8">
        <f t="shared" ref="N8:N27" si="4">O7*(1+$B$1)</f>
        <v>-1394.6042946655502</v>
      </c>
      <c r="O8">
        <f t="shared" si="1"/>
        <v>-1359.6042946655502</v>
      </c>
      <c r="T8" t="s">
        <v>12</v>
      </c>
      <c r="U8" t="s">
        <v>8</v>
      </c>
      <c r="V8">
        <f t="shared" si="2"/>
        <v>10</v>
      </c>
      <c r="W8" t="s">
        <v>9</v>
      </c>
      <c r="X8">
        <v>929.06666666666695</v>
      </c>
      <c r="Y8" t="s">
        <v>10</v>
      </c>
      <c r="Z8">
        <v>-929.06666666666695</v>
      </c>
      <c r="AA8">
        <f t="shared" si="3"/>
        <v>-762.15826047067787</v>
      </c>
    </row>
    <row r="9" spans="1:27" x14ac:dyDescent="0.25">
      <c r="A9" t="s">
        <v>13</v>
      </c>
      <c r="B9" t="s">
        <v>13</v>
      </c>
      <c r="C9">
        <v>1</v>
      </c>
      <c r="D9" t="s">
        <v>9</v>
      </c>
      <c r="E9">
        <v>35</v>
      </c>
      <c r="F9" t="s">
        <v>10</v>
      </c>
      <c r="G9">
        <v>-35</v>
      </c>
      <c r="H9">
        <f t="shared" si="0"/>
        <v>-34.313725490196077</v>
      </c>
      <c r="L9" s="3">
        <v>3</v>
      </c>
      <c r="M9" s="1">
        <v>-978.5</v>
      </c>
      <c r="N9">
        <f t="shared" si="4"/>
        <v>-1386.7963805588613</v>
      </c>
      <c r="O9">
        <f t="shared" si="1"/>
        <v>-408.2963805588613</v>
      </c>
      <c r="T9" t="s">
        <v>13</v>
      </c>
      <c r="U9" t="s">
        <v>13</v>
      </c>
      <c r="V9">
        <f t="shared" si="2"/>
        <v>11</v>
      </c>
      <c r="W9" t="s">
        <v>9</v>
      </c>
      <c r="X9">
        <v>35</v>
      </c>
      <c r="Y9" t="s">
        <v>10</v>
      </c>
      <c r="Z9">
        <v>-35</v>
      </c>
      <c r="AA9">
        <f t="shared" si="3"/>
        <v>-28.149206368265137</v>
      </c>
    </row>
    <row r="10" spans="1:27" x14ac:dyDescent="0.25">
      <c r="A10" t="s">
        <v>13</v>
      </c>
      <c r="B10" t="s">
        <v>13</v>
      </c>
      <c r="C10">
        <v>2</v>
      </c>
      <c r="D10" t="s">
        <v>9</v>
      </c>
      <c r="E10">
        <v>35</v>
      </c>
      <c r="F10" t="s">
        <v>10</v>
      </c>
      <c r="G10">
        <v>-35</v>
      </c>
      <c r="H10">
        <f t="shared" si="0"/>
        <v>-33.640907343329488</v>
      </c>
      <c r="L10" s="3">
        <v>4</v>
      </c>
      <c r="M10" s="1">
        <v>-35</v>
      </c>
      <c r="N10">
        <f t="shared" si="4"/>
        <v>-416.46230817003851</v>
      </c>
      <c r="O10">
        <f t="shared" si="1"/>
        <v>-381.46230817003851</v>
      </c>
      <c r="T10" t="s">
        <v>13</v>
      </c>
      <c r="U10" t="s">
        <v>13</v>
      </c>
      <c r="V10">
        <f t="shared" si="2"/>
        <v>12</v>
      </c>
      <c r="W10" t="s">
        <v>9</v>
      </c>
      <c r="X10">
        <v>35</v>
      </c>
      <c r="Y10" t="s">
        <v>10</v>
      </c>
      <c r="Z10">
        <v>-35</v>
      </c>
      <c r="AA10">
        <f t="shared" si="3"/>
        <v>-27.597261145357972</v>
      </c>
    </row>
    <row r="11" spans="1:27" x14ac:dyDescent="0.25">
      <c r="A11" t="s">
        <v>14</v>
      </c>
      <c r="B11" t="s">
        <v>8</v>
      </c>
      <c r="C11">
        <v>3</v>
      </c>
      <c r="D11" t="s">
        <v>9</v>
      </c>
      <c r="E11">
        <v>943.5</v>
      </c>
      <c r="F11" t="s">
        <v>10</v>
      </c>
      <c r="G11">
        <v>-943.5</v>
      </c>
      <c r="H11">
        <f t="shared" si="0"/>
        <v>-889.08112264513659</v>
      </c>
      <c r="L11" s="3">
        <v>5</v>
      </c>
      <c r="M11" s="1">
        <v>-35</v>
      </c>
      <c r="N11">
        <f t="shared" si="4"/>
        <v>-389.09155433343926</v>
      </c>
      <c r="O11">
        <f t="shared" si="1"/>
        <v>-354.09155433343926</v>
      </c>
      <c r="T11" t="s">
        <v>14</v>
      </c>
      <c r="U11" t="s">
        <v>8</v>
      </c>
      <c r="V11">
        <f t="shared" si="2"/>
        <v>13</v>
      </c>
      <c r="W11" t="s">
        <v>9</v>
      </c>
      <c r="X11">
        <v>943.5</v>
      </c>
      <c r="Y11" t="s">
        <v>10</v>
      </c>
      <c r="Z11">
        <v>-943.5</v>
      </c>
      <c r="AA11">
        <f t="shared" si="3"/>
        <v>-729.35618741303222</v>
      </c>
    </row>
    <row r="12" spans="1:27" x14ac:dyDescent="0.25">
      <c r="A12" t="s">
        <v>13</v>
      </c>
      <c r="B12" t="s">
        <v>13</v>
      </c>
      <c r="C12">
        <v>3</v>
      </c>
      <c r="D12" t="s">
        <v>9</v>
      </c>
      <c r="E12">
        <v>35</v>
      </c>
      <c r="F12" t="s">
        <v>10</v>
      </c>
      <c r="G12">
        <v>-35</v>
      </c>
      <c r="H12">
        <f t="shared" si="0"/>
        <v>-32.981281709146558</v>
      </c>
      <c r="L12" s="3">
        <v>6</v>
      </c>
      <c r="M12" s="1">
        <v>-35</v>
      </c>
      <c r="N12">
        <f t="shared" si="4"/>
        <v>-361.17338542010805</v>
      </c>
      <c r="O12">
        <f t="shared" si="1"/>
        <v>-326.17338542010805</v>
      </c>
      <c r="T12" t="s">
        <v>13</v>
      </c>
      <c r="U12" t="s">
        <v>13</v>
      </c>
      <c r="V12">
        <f t="shared" si="2"/>
        <v>13</v>
      </c>
      <c r="W12" t="s">
        <v>9</v>
      </c>
      <c r="X12">
        <v>35</v>
      </c>
      <c r="Y12" t="s">
        <v>10</v>
      </c>
      <c r="Z12">
        <v>-35</v>
      </c>
      <c r="AA12">
        <f t="shared" si="3"/>
        <v>-27.056138377801936</v>
      </c>
    </row>
    <row r="13" spans="1:27" x14ac:dyDescent="0.25">
      <c r="A13" t="s">
        <v>13</v>
      </c>
      <c r="B13" t="s">
        <v>13</v>
      </c>
      <c r="C13">
        <v>4</v>
      </c>
      <c r="D13" t="s">
        <v>9</v>
      </c>
      <c r="E13">
        <v>35</v>
      </c>
      <c r="F13" t="s">
        <v>10</v>
      </c>
      <c r="G13">
        <v>-35</v>
      </c>
      <c r="H13">
        <f t="shared" si="0"/>
        <v>-32.334589910927996</v>
      </c>
      <c r="L13" s="3">
        <v>7</v>
      </c>
      <c r="M13" s="1">
        <v>-35</v>
      </c>
      <c r="N13">
        <f t="shared" si="4"/>
        <v>-332.69685312851021</v>
      </c>
      <c r="O13">
        <f t="shared" si="1"/>
        <v>-297.69685312851021</v>
      </c>
      <c r="T13" t="s">
        <v>13</v>
      </c>
      <c r="U13" t="s">
        <v>13</v>
      </c>
      <c r="V13">
        <f t="shared" si="2"/>
        <v>14</v>
      </c>
      <c r="W13" t="s">
        <v>9</v>
      </c>
      <c r="X13">
        <v>35</v>
      </c>
      <c r="Y13" t="s">
        <v>10</v>
      </c>
      <c r="Z13">
        <v>-35</v>
      </c>
      <c r="AA13">
        <f t="shared" si="3"/>
        <v>-26.525625860590132</v>
      </c>
    </row>
    <row r="14" spans="1:27" x14ac:dyDescent="0.25">
      <c r="A14" t="s">
        <v>13</v>
      </c>
      <c r="B14" t="s">
        <v>13</v>
      </c>
      <c r="C14">
        <v>5</v>
      </c>
      <c r="D14" t="s">
        <v>9</v>
      </c>
      <c r="E14">
        <v>35</v>
      </c>
      <c r="F14" t="s">
        <v>10</v>
      </c>
      <c r="G14">
        <v>-35</v>
      </c>
      <c r="H14">
        <f t="shared" si="0"/>
        <v>-31.700578344047056</v>
      </c>
      <c r="L14" s="3">
        <v>8</v>
      </c>
      <c r="M14" s="1">
        <v>-35</v>
      </c>
      <c r="N14">
        <f t="shared" si="4"/>
        <v>-303.65079019108043</v>
      </c>
      <c r="O14">
        <f t="shared" si="1"/>
        <v>-268.65079019108043</v>
      </c>
      <c r="T14" t="s">
        <v>13</v>
      </c>
      <c r="U14" t="s">
        <v>13</v>
      </c>
      <c r="V14">
        <f t="shared" si="2"/>
        <v>15</v>
      </c>
      <c r="W14" t="s">
        <v>9</v>
      </c>
      <c r="X14">
        <v>35</v>
      </c>
      <c r="Y14" t="s">
        <v>10</v>
      </c>
      <c r="Z14">
        <v>-35</v>
      </c>
      <c r="AA14">
        <f t="shared" si="3"/>
        <v>-26.005515549598176</v>
      </c>
    </row>
    <row r="15" spans="1:27" x14ac:dyDescent="0.25">
      <c r="A15" t="s">
        <v>13</v>
      </c>
      <c r="B15" t="s">
        <v>13</v>
      </c>
      <c r="C15">
        <v>6</v>
      </c>
      <c r="D15" t="s">
        <v>9</v>
      </c>
      <c r="E15">
        <v>35</v>
      </c>
      <c r="F15" t="s">
        <v>10</v>
      </c>
      <c r="G15">
        <v>-35</v>
      </c>
      <c r="H15">
        <f t="shared" si="0"/>
        <v>-31.078998376516719</v>
      </c>
      <c r="L15" s="3">
        <v>9</v>
      </c>
      <c r="M15" s="1">
        <v>-35</v>
      </c>
      <c r="N15">
        <f t="shared" si="4"/>
        <v>-274.02380599490203</v>
      </c>
      <c r="O15">
        <f t="shared" si="1"/>
        <v>-239.02380599490203</v>
      </c>
      <c r="T15" t="s">
        <v>13</v>
      </c>
      <c r="U15" t="s">
        <v>13</v>
      </c>
      <c r="V15">
        <f t="shared" si="2"/>
        <v>16</v>
      </c>
      <c r="W15" t="s">
        <v>9</v>
      </c>
      <c r="X15">
        <v>35</v>
      </c>
      <c r="Y15" t="s">
        <v>10</v>
      </c>
      <c r="Z15">
        <v>-35</v>
      </c>
      <c r="AA15">
        <f t="shared" si="3"/>
        <v>-25.495603479998206</v>
      </c>
    </row>
    <row r="16" spans="1:27" x14ac:dyDescent="0.25">
      <c r="A16" t="s">
        <v>13</v>
      </c>
      <c r="B16" t="s">
        <v>13</v>
      </c>
      <c r="C16">
        <v>7</v>
      </c>
      <c r="D16" t="s">
        <v>9</v>
      </c>
      <c r="E16">
        <v>35</v>
      </c>
      <c r="F16" t="s">
        <v>10</v>
      </c>
      <c r="G16">
        <v>-35</v>
      </c>
      <c r="H16">
        <f t="shared" si="0"/>
        <v>-30.469606251486987</v>
      </c>
      <c r="L16" s="3">
        <v>10</v>
      </c>
      <c r="M16" s="1">
        <v>-35</v>
      </c>
      <c r="N16">
        <f t="shared" si="4"/>
        <v>-243.80428211480009</v>
      </c>
      <c r="O16">
        <f t="shared" si="1"/>
        <v>-208.80428211480009</v>
      </c>
      <c r="T16" t="s">
        <v>13</v>
      </c>
      <c r="U16" t="s">
        <v>13</v>
      </c>
      <c r="V16">
        <f t="shared" si="2"/>
        <v>17</v>
      </c>
      <c r="W16" t="s">
        <v>9</v>
      </c>
      <c r="X16">
        <v>35</v>
      </c>
      <c r="Y16" t="s">
        <v>10</v>
      </c>
      <c r="Z16">
        <v>-35</v>
      </c>
      <c r="AA16">
        <f t="shared" si="3"/>
        <v>-24.995689686272751</v>
      </c>
    </row>
    <row r="17" spans="1:27" x14ac:dyDescent="0.25">
      <c r="A17" t="s">
        <v>13</v>
      </c>
      <c r="B17" t="s">
        <v>13</v>
      </c>
      <c r="C17">
        <v>8</v>
      </c>
      <c r="D17" t="s">
        <v>9</v>
      </c>
      <c r="E17">
        <v>35</v>
      </c>
      <c r="F17" t="s">
        <v>10</v>
      </c>
      <c r="G17">
        <v>-35</v>
      </c>
      <c r="H17">
        <f t="shared" si="0"/>
        <v>-29.872162991653905</v>
      </c>
      <c r="L17" s="3">
        <v>11</v>
      </c>
      <c r="M17" s="1">
        <v>-35</v>
      </c>
      <c r="N17">
        <f t="shared" si="4"/>
        <v>-212.9803677570961</v>
      </c>
      <c r="O17">
        <f t="shared" si="1"/>
        <v>-177.9803677570961</v>
      </c>
      <c r="T17" t="s">
        <v>13</v>
      </c>
      <c r="U17" t="s">
        <v>13</v>
      </c>
      <c r="V17">
        <f t="shared" si="2"/>
        <v>18</v>
      </c>
      <c r="W17" t="s">
        <v>9</v>
      </c>
      <c r="X17">
        <v>35</v>
      </c>
      <c r="Y17" t="s">
        <v>10</v>
      </c>
      <c r="Z17">
        <v>-35</v>
      </c>
      <c r="AA17">
        <f t="shared" si="3"/>
        <v>-24.505578123796816</v>
      </c>
    </row>
    <row r="18" spans="1:27" x14ac:dyDescent="0.25">
      <c r="A18" t="s">
        <v>13</v>
      </c>
      <c r="B18" t="s">
        <v>13</v>
      </c>
      <c r="C18">
        <v>9</v>
      </c>
      <c r="D18" t="s">
        <v>9</v>
      </c>
      <c r="E18">
        <v>35</v>
      </c>
      <c r="F18" t="s">
        <v>10</v>
      </c>
      <c r="G18">
        <v>-35</v>
      </c>
      <c r="H18">
        <f t="shared" si="0"/>
        <v>-29.286434305543047</v>
      </c>
      <c r="L18" s="3">
        <v>12</v>
      </c>
      <c r="M18" s="1">
        <v>-35</v>
      </c>
      <c r="N18">
        <f t="shared" si="4"/>
        <v>-181.53997511223804</v>
      </c>
      <c r="O18">
        <f t="shared" si="1"/>
        <v>-146.53997511223804</v>
      </c>
      <c r="T18" t="s">
        <v>13</v>
      </c>
      <c r="U18" t="s">
        <v>13</v>
      </c>
      <c r="V18">
        <f t="shared" si="2"/>
        <v>19</v>
      </c>
      <c r="W18" t="s">
        <v>9</v>
      </c>
      <c r="X18">
        <v>35</v>
      </c>
      <c r="Y18" t="s">
        <v>10</v>
      </c>
      <c r="Z18">
        <v>-35</v>
      </c>
      <c r="AA18">
        <f t="shared" si="3"/>
        <v>-24.025076591957664</v>
      </c>
    </row>
    <row r="19" spans="1:27" x14ac:dyDescent="0.25">
      <c r="A19" t="s">
        <v>13</v>
      </c>
      <c r="B19" t="s">
        <v>13</v>
      </c>
      <c r="C19">
        <v>10</v>
      </c>
      <c r="D19" t="s">
        <v>9</v>
      </c>
      <c r="E19">
        <v>35</v>
      </c>
      <c r="F19" t="s">
        <v>10</v>
      </c>
      <c r="G19">
        <v>-35</v>
      </c>
      <c r="H19">
        <f t="shared" si="0"/>
        <v>-28.712190495630434</v>
      </c>
      <c r="L19" s="3">
        <v>13</v>
      </c>
      <c r="M19" s="1">
        <v>-35</v>
      </c>
      <c r="N19">
        <f t="shared" si="4"/>
        <v>-149.47077461448279</v>
      </c>
      <c r="O19">
        <f t="shared" si="1"/>
        <v>-114.47077461448279</v>
      </c>
      <c r="T19" t="s">
        <v>13</v>
      </c>
      <c r="U19" t="s">
        <v>13</v>
      </c>
      <c r="V19">
        <f t="shared" si="2"/>
        <v>20</v>
      </c>
      <c r="W19" t="s">
        <v>9</v>
      </c>
      <c r="X19">
        <v>35</v>
      </c>
      <c r="Y19" t="s">
        <v>10</v>
      </c>
      <c r="Z19">
        <v>-35</v>
      </c>
      <c r="AA19">
        <f t="shared" si="3"/>
        <v>-23.553996658782022</v>
      </c>
    </row>
    <row r="20" spans="1:27" x14ac:dyDescent="0.25">
      <c r="A20" t="s">
        <v>13</v>
      </c>
      <c r="B20" t="s">
        <v>13</v>
      </c>
      <c r="C20">
        <v>11</v>
      </c>
      <c r="D20" t="s">
        <v>9</v>
      </c>
      <c r="E20">
        <v>35</v>
      </c>
      <c r="F20" t="s">
        <v>10</v>
      </c>
      <c r="G20">
        <v>-35</v>
      </c>
      <c r="H20">
        <f t="shared" si="0"/>
        <v>-28.149206368265137</v>
      </c>
      <c r="L20" s="3">
        <v>14</v>
      </c>
      <c r="M20" s="1">
        <v>-35</v>
      </c>
      <c r="N20">
        <f t="shared" si="4"/>
        <v>-116.76019010677246</v>
      </c>
      <c r="O20">
        <f t="shared" si="1"/>
        <v>-81.760190106772455</v>
      </c>
      <c r="T20" t="s">
        <v>13</v>
      </c>
      <c r="U20" t="s">
        <v>13</v>
      </c>
      <c r="V20">
        <f t="shared" si="2"/>
        <v>21</v>
      </c>
      <c r="W20" t="s">
        <v>9</v>
      </c>
      <c r="X20">
        <v>35</v>
      </c>
      <c r="Y20" t="s">
        <v>10</v>
      </c>
      <c r="Z20">
        <v>-35</v>
      </c>
      <c r="AA20">
        <f t="shared" si="3"/>
        <v>-23.092153587041199</v>
      </c>
    </row>
    <row r="21" spans="1:27" x14ac:dyDescent="0.25">
      <c r="A21" t="s">
        <v>13</v>
      </c>
      <c r="B21" t="s">
        <v>13</v>
      </c>
      <c r="C21">
        <v>12</v>
      </c>
      <c r="D21" t="s">
        <v>9</v>
      </c>
      <c r="E21">
        <v>35</v>
      </c>
      <c r="F21" t="s">
        <v>10</v>
      </c>
      <c r="G21">
        <v>-35</v>
      </c>
      <c r="H21">
        <f t="shared" si="0"/>
        <v>-27.597261145357972</v>
      </c>
      <c r="L21" s="3">
        <v>15</v>
      </c>
      <c r="M21" s="1">
        <v>-1743.7752109740379</v>
      </c>
      <c r="N21">
        <f t="shared" si="4"/>
        <v>-83.395393908907906</v>
      </c>
      <c r="O21">
        <f t="shared" si="1"/>
        <v>1660.3798170651301</v>
      </c>
      <c r="T21" t="s">
        <v>13</v>
      </c>
      <c r="U21" t="s">
        <v>13</v>
      </c>
      <c r="V21">
        <f>C21+10-22</f>
        <v>0</v>
      </c>
      <c r="W21" t="s">
        <v>9</v>
      </c>
      <c r="X21">
        <v>35</v>
      </c>
      <c r="Y21" t="s">
        <v>10</v>
      </c>
      <c r="Z21">
        <v>-35</v>
      </c>
      <c r="AA21">
        <f t="shared" si="3"/>
        <v>-35</v>
      </c>
    </row>
    <row r="22" spans="1:27" x14ac:dyDescent="0.25">
      <c r="A22" t="s">
        <v>13</v>
      </c>
      <c r="B22" t="s">
        <v>13</v>
      </c>
      <c r="C22">
        <v>13</v>
      </c>
      <c r="D22" t="s">
        <v>9</v>
      </c>
      <c r="E22">
        <v>35</v>
      </c>
      <c r="F22" t="s">
        <v>10</v>
      </c>
      <c r="G22">
        <v>-35</v>
      </c>
      <c r="H22">
        <f t="shared" si="0"/>
        <v>-27.056138377801936</v>
      </c>
      <c r="L22" s="3">
        <v>16</v>
      </c>
      <c r="M22" s="1">
        <v>-35</v>
      </c>
      <c r="N22">
        <f t="shared" si="4"/>
        <v>1693.5874134064327</v>
      </c>
      <c r="O22">
        <f t="shared" si="1"/>
        <v>1728.5874134064327</v>
      </c>
      <c r="T22" t="s">
        <v>13</v>
      </c>
      <c r="U22" t="s">
        <v>13</v>
      </c>
      <c r="V22">
        <f t="shared" ref="V22:V33" si="5">C22+10-22</f>
        <v>1</v>
      </c>
      <c r="W22" t="s">
        <v>9</v>
      </c>
      <c r="X22">
        <v>35</v>
      </c>
      <c r="Y22" t="s">
        <v>10</v>
      </c>
      <c r="Z22">
        <v>-35</v>
      </c>
      <c r="AA22">
        <f t="shared" si="3"/>
        <v>-34.313725490196077</v>
      </c>
    </row>
    <row r="23" spans="1:27" x14ac:dyDescent="0.25">
      <c r="A23" t="s">
        <v>13</v>
      </c>
      <c r="B23" t="s">
        <v>13</v>
      </c>
      <c r="C23">
        <v>14</v>
      </c>
      <c r="D23" t="s">
        <v>9</v>
      </c>
      <c r="E23">
        <v>35</v>
      </c>
      <c r="F23" t="s">
        <v>10</v>
      </c>
      <c r="G23">
        <v>-35</v>
      </c>
      <c r="H23">
        <f t="shared" si="0"/>
        <v>-26.525625860590132</v>
      </c>
      <c r="L23" s="3">
        <v>17</v>
      </c>
      <c r="M23" s="1">
        <v>-35</v>
      </c>
      <c r="N23">
        <f t="shared" si="4"/>
        <v>1763.1591616745613</v>
      </c>
      <c r="O23">
        <f t="shared" si="1"/>
        <v>1798.1591616745613</v>
      </c>
      <c r="T23" t="s">
        <v>13</v>
      </c>
      <c r="U23" t="s">
        <v>13</v>
      </c>
      <c r="V23">
        <f t="shared" si="5"/>
        <v>2</v>
      </c>
      <c r="W23" t="s">
        <v>9</v>
      </c>
      <c r="X23">
        <v>35</v>
      </c>
      <c r="Y23" t="s">
        <v>10</v>
      </c>
      <c r="Z23">
        <v>-35</v>
      </c>
      <c r="AA23">
        <f t="shared" si="3"/>
        <v>-33.640907343329488</v>
      </c>
    </row>
    <row r="24" spans="1:27" x14ac:dyDescent="0.25">
      <c r="A24" t="s">
        <v>15</v>
      </c>
      <c r="B24" t="s">
        <v>8</v>
      </c>
      <c r="C24">
        <v>15</v>
      </c>
      <c r="D24" t="s">
        <v>9</v>
      </c>
      <c r="E24">
        <v>2032</v>
      </c>
      <c r="F24" t="s">
        <v>10</v>
      </c>
      <c r="G24">
        <v>-2032</v>
      </c>
      <c r="H24">
        <f t="shared" si="0"/>
        <v>-1509.8059313366712</v>
      </c>
      <c r="L24" s="3">
        <v>18</v>
      </c>
      <c r="M24" s="1">
        <v>-35</v>
      </c>
      <c r="N24">
        <f t="shared" si="4"/>
        <v>1834.1223449080526</v>
      </c>
      <c r="O24">
        <f t="shared" si="1"/>
        <v>1869.1223449080526</v>
      </c>
      <c r="T24" t="s">
        <v>15</v>
      </c>
      <c r="U24" t="s">
        <v>8</v>
      </c>
      <c r="V24">
        <f t="shared" si="5"/>
        <v>3</v>
      </c>
      <c r="W24" t="s">
        <v>9</v>
      </c>
      <c r="X24">
        <v>2032</v>
      </c>
      <c r="Y24" t="s">
        <v>10</v>
      </c>
      <c r="Z24">
        <v>-2032</v>
      </c>
      <c r="AA24">
        <f t="shared" si="3"/>
        <v>-1914.7989837995945</v>
      </c>
    </row>
    <row r="25" spans="1:27" x14ac:dyDescent="0.25">
      <c r="A25" t="s">
        <v>16</v>
      </c>
      <c r="B25" t="s">
        <v>17</v>
      </c>
      <c r="C25">
        <v>15</v>
      </c>
      <c r="D25" t="s">
        <v>18</v>
      </c>
      <c r="E25">
        <v>323.22478902596202</v>
      </c>
      <c r="F25">
        <v>45.119334783660399</v>
      </c>
      <c r="G25">
        <v>323.22478902596202</v>
      </c>
      <c r="H25">
        <f t="shared" si="0"/>
        <v>240.16077934372129</v>
      </c>
      <c r="L25" s="3">
        <v>19</v>
      </c>
      <c r="M25" s="1">
        <v>-35</v>
      </c>
      <c r="N25">
        <f t="shared" si="4"/>
        <v>1906.5047918062137</v>
      </c>
      <c r="O25">
        <f t="shared" si="1"/>
        <v>1941.5047918062137</v>
      </c>
      <c r="T25" t="s">
        <v>16</v>
      </c>
      <c r="U25" t="s">
        <v>17</v>
      </c>
      <c r="V25">
        <f t="shared" si="5"/>
        <v>3</v>
      </c>
      <c r="W25" t="s">
        <v>18</v>
      </c>
      <c r="X25">
        <v>323.22478902596202</v>
      </c>
      <c r="Y25">
        <v>45.119334783660399</v>
      </c>
      <c r="Z25">
        <v>323.22478902596202</v>
      </c>
      <c r="AA25">
        <f t="shared" si="3"/>
        <v>304.58193777842047</v>
      </c>
    </row>
    <row r="26" spans="1:27" x14ac:dyDescent="0.25">
      <c r="A26" t="s">
        <v>13</v>
      </c>
      <c r="B26" t="s">
        <v>13</v>
      </c>
      <c r="C26">
        <v>15</v>
      </c>
      <c r="D26" t="s">
        <v>9</v>
      </c>
      <c r="E26">
        <v>35</v>
      </c>
      <c r="F26" t="s">
        <v>10</v>
      </c>
      <c r="G26">
        <v>-35</v>
      </c>
      <c r="H26">
        <f t="shared" si="0"/>
        <v>-26.005515549598176</v>
      </c>
      <c r="L26" s="3">
        <v>20</v>
      </c>
      <c r="M26" s="1">
        <v>-35</v>
      </c>
      <c r="N26">
        <f t="shared" si="4"/>
        <v>1980.3348876423379</v>
      </c>
      <c r="O26">
        <f t="shared" si="1"/>
        <v>2015.3348876423379</v>
      </c>
      <c r="T26" t="s">
        <v>13</v>
      </c>
      <c r="U26" t="s">
        <v>13</v>
      </c>
      <c r="V26">
        <f t="shared" si="5"/>
        <v>3</v>
      </c>
      <c r="W26" t="s">
        <v>9</v>
      </c>
      <c r="X26">
        <v>35</v>
      </c>
      <c r="Y26" t="s">
        <v>10</v>
      </c>
      <c r="Z26">
        <v>-35</v>
      </c>
      <c r="AA26">
        <f t="shared" si="3"/>
        <v>-32.981281709146558</v>
      </c>
    </row>
    <row r="27" spans="1:27" x14ac:dyDescent="0.25">
      <c r="A27" t="s">
        <v>13</v>
      </c>
      <c r="B27" t="s">
        <v>13</v>
      </c>
      <c r="C27">
        <v>16</v>
      </c>
      <c r="D27" t="s">
        <v>9</v>
      </c>
      <c r="E27">
        <v>35</v>
      </c>
      <c r="F27" t="s">
        <v>10</v>
      </c>
      <c r="G27">
        <v>-35</v>
      </c>
      <c r="H27">
        <f t="shared" si="0"/>
        <v>-25.495603479998206</v>
      </c>
      <c r="L27" s="3">
        <v>21</v>
      </c>
      <c r="M27" s="1">
        <v>6637.4720877649997</v>
      </c>
      <c r="N27">
        <f t="shared" si="4"/>
        <v>2055.6415853951848</v>
      </c>
      <c r="O27">
        <f t="shared" si="1"/>
        <v>-4581.8305023698149</v>
      </c>
      <c r="T27" t="s">
        <v>13</v>
      </c>
      <c r="U27" t="s">
        <v>13</v>
      </c>
      <c r="V27">
        <f t="shared" si="5"/>
        <v>4</v>
      </c>
      <c r="W27" t="s">
        <v>9</v>
      </c>
      <c r="X27">
        <v>35</v>
      </c>
      <c r="Y27" t="s">
        <v>10</v>
      </c>
      <c r="Z27">
        <v>-35</v>
      </c>
      <c r="AA27">
        <f t="shared" si="3"/>
        <v>-32.334589910927996</v>
      </c>
    </row>
    <row r="28" spans="1:27" x14ac:dyDescent="0.25">
      <c r="A28" t="s">
        <v>13</v>
      </c>
      <c r="B28" t="s">
        <v>13</v>
      </c>
      <c r="C28">
        <v>17</v>
      </c>
      <c r="D28" t="s">
        <v>9</v>
      </c>
      <c r="E28">
        <v>35</v>
      </c>
      <c r="F28" t="s">
        <v>10</v>
      </c>
      <c r="G28">
        <v>-35</v>
      </c>
      <c r="H28">
        <f t="shared" si="0"/>
        <v>-24.995689686272751</v>
      </c>
      <c r="L28" s="3" t="s">
        <v>22</v>
      </c>
      <c r="M28" s="1">
        <v>78.130210124294535</v>
      </c>
      <c r="T28" t="s">
        <v>13</v>
      </c>
      <c r="U28" t="s">
        <v>13</v>
      </c>
      <c r="V28">
        <f t="shared" si="5"/>
        <v>5</v>
      </c>
      <c r="W28" t="s">
        <v>9</v>
      </c>
      <c r="X28">
        <v>35</v>
      </c>
      <c r="Y28" t="s">
        <v>10</v>
      </c>
      <c r="Z28">
        <v>-35</v>
      </c>
      <c r="AA28">
        <f t="shared" si="3"/>
        <v>-31.700578344047056</v>
      </c>
    </row>
    <row r="29" spans="1:27" x14ac:dyDescent="0.25">
      <c r="A29" t="s">
        <v>13</v>
      </c>
      <c r="B29" t="s">
        <v>13</v>
      </c>
      <c r="C29">
        <v>18</v>
      </c>
      <c r="D29" t="s">
        <v>9</v>
      </c>
      <c r="E29">
        <v>35</v>
      </c>
      <c r="F29" t="s">
        <v>10</v>
      </c>
      <c r="G29">
        <v>-35</v>
      </c>
      <c r="H29">
        <f t="shared" si="0"/>
        <v>-24.505578123796816</v>
      </c>
      <c r="T29" t="s">
        <v>13</v>
      </c>
      <c r="U29" t="s">
        <v>13</v>
      </c>
      <c r="V29">
        <f t="shared" si="5"/>
        <v>6</v>
      </c>
      <c r="W29" t="s">
        <v>9</v>
      </c>
      <c r="X29">
        <v>35</v>
      </c>
      <c r="Y29" t="s">
        <v>10</v>
      </c>
      <c r="Z29">
        <v>-35</v>
      </c>
      <c r="AA29">
        <f t="shared" si="3"/>
        <v>-31.078998376516719</v>
      </c>
    </row>
    <row r="30" spans="1:27" x14ac:dyDescent="0.25">
      <c r="A30" t="s">
        <v>13</v>
      </c>
      <c r="B30" t="s">
        <v>13</v>
      </c>
      <c r="C30">
        <v>19</v>
      </c>
      <c r="D30" t="s">
        <v>9</v>
      </c>
      <c r="E30">
        <v>35</v>
      </c>
      <c r="F30" t="s">
        <v>10</v>
      </c>
      <c r="G30">
        <v>-35</v>
      </c>
      <c r="H30">
        <f t="shared" si="0"/>
        <v>-24.025076591957664</v>
      </c>
      <c r="T30" t="s">
        <v>13</v>
      </c>
      <c r="U30" t="s">
        <v>13</v>
      </c>
      <c r="V30">
        <f t="shared" si="5"/>
        <v>7</v>
      </c>
      <c r="W30" t="s">
        <v>9</v>
      </c>
      <c r="X30">
        <v>35</v>
      </c>
      <c r="Y30" t="s">
        <v>10</v>
      </c>
      <c r="Z30">
        <v>-35</v>
      </c>
      <c r="AA30">
        <f t="shared" si="3"/>
        <v>-30.469606251486987</v>
      </c>
    </row>
    <row r="31" spans="1:27" x14ac:dyDescent="0.25">
      <c r="A31" t="s">
        <v>13</v>
      </c>
      <c r="B31" t="s">
        <v>13</v>
      </c>
      <c r="C31">
        <v>20</v>
      </c>
      <c r="D31" t="s">
        <v>9</v>
      </c>
      <c r="E31">
        <v>35</v>
      </c>
      <c r="F31" t="s">
        <v>10</v>
      </c>
      <c r="G31">
        <v>-35</v>
      </c>
      <c r="H31">
        <f t="shared" si="0"/>
        <v>-23.553996658782022</v>
      </c>
      <c r="T31" t="s">
        <v>13</v>
      </c>
      <c r="U31" t="s">
        <v>13</v>
      </c>
      <c r="V31">
        <f t="shared" si="5"/>
        <v>8</v>
      </c>
      <c r="W31" t="s">
        <v>9</v>
      </c>
      <c r="X31">
        <v>35</v>
      </c>
      <c r="Y31" t="s">
        <v>10</v>
      </c>
      <c r="Z31">
        <v>-35</v>
      </c>
      <c r="AA31">
        <f t="shared" si="3"/>
        <v>-29.872162991653905</v>
      </c>
    </row>
    <row r="32" spans="1:27" x14ac:dyDescent="0.25">
      <c r="A32" t="s">
        <v>19</v>
      </c>
      <c r="B32" t="s">
        <v>17</v>
      </c>
      <c r="C32">
        <v>21</v>
      </c>
      <c r="D32" t="s">
        <v>18</v>
      </c>
      <c r="E32">
        <v>6672.4720877649997</v>
      </c>
      <c r="F32">
        <v>260.883803045599</v>
      </c>
      <c r="G32">
        <v>6672.4720877649997</v>
      </c>
      <c r="H32">
        <f t="shared" si="0"/>
        <v>4402.3357215975657</v>
      </c>
      <c r="T32" t="s">
        <v>19</v>
      </c>
      <c r="U32" t="s">
        <v>17</v>
      </c>
      <c r="V32">
        <f t="shared" si="5"/>
        <v>9</v>
      </c>
      <c r="W32" t="s">
        <v>18</v>
      </c>
      <c r="X32">
        <v>6672.4720877649997</v>
      </c>
      <c r="Y32">
        <v>260.883803045599</v>
      </c>
      <c r="Z32">
        <v>6672.4720877649997</v>
      </c>
      <c r="AA32">
        <f t="shared" si="3"/>
        <v>5583.2261558256951</v>
      </c>
    </row>
    <row r="33" spans="1:27" x14ac:dyDescent="0.25">
      <c r="A33" t="s">
        <v>13</v>
      </c>
      <c r="B33" t="s">
        <v>13</v>
      </c>
      <c r="C33">
        <v>21</v>
      </c>
      <c r="D33" t="s">
        <v>9</v>
      </c>
      <c r="E33">
        <v>35</v>
      </c>
      <c r="F33" t="s">
        <v>10</v>
      </c>
      <c r="G33">
        <v>-35</v>
      </c>
      <c r="H33">
        <f t="shared" si="0"/>
        <v>-23.092153587041199</v>
      </c>
      <c r="T33" t="s">
        <v>13</v>
      </c>
      <c r="U33" t="s">
        <v>13</v>
      </c>
      <c r="V33">
        <f t="shared" si="5"/>
        <v>9</v>
      </c>
      <c r="W33" t="s">
        <v>9</v>
      </c>
      <c r="X33">
        <v>35</v>
      </c>
      <c r="Y33" t="s">
        <v>10</v>
      </c>
      <c r="Z33">
        <v>-35</v>
      </c>
      <c r="AA33">
        <f t="shared" si="3"/>
        <v>-29.286434305543047</v>
      </c>
    </row>
    <row r="35" spans="1:27" x14ac:dyDescent="0.25">
      <c r="N35">
        <v>5</v>
      </c>
      <c r="O35" t="s">
        <v>30</v>
      </c>
      <c r="P35" t="s">
        <v>31</v>
      </c>
    </row>
    <row r="36" spans="1:27" x14ac:dyDescent="0.25">
      <c r="G36" t="s">
        <v>25</v>
      </c>
      <c r="H36">
        <f>SUM(H6:H33)</f>
        <v>-1558.8495403551306</v>
      </c>
      <c r="M36" t="s">
        <v>29</v>
      </c>
      <c r="N36">
        <f>AVERAGE(N7:N27)</f>
        <v>189.74479601613271</v>
      </c>
      <c r="O36">
        <f>AVERAGE(N6,O7:O26)</f>
        <v>33.306849502277622</v>
      </c>
      <c r="P36">
        <f>AVERAGE(O6:O26)</f>
        <v>186.02430981973797</v>
      </c>
      <c r="Z36" t="s">
        <v>25</v>
      </c>
      <c r="AA36">
        <f>SUM(AA6:AA33)</f>
        <v>11.061104652896098</v>
      </c>
    </row>
    <row r="37" spans="1:27" x14ac:dyDescent="0.25">
      <c r="G37" t="s">
        <v>26</v>
      </c>
      <c r="H37">
        <f>H36*(1+B1)^C33/((1+B1)^C33-1)</f>
        <v>-4581.8305023698103</v>
      </c>
      <c r="Z37" t="s">
        <v>26</v>
      </c>
      <c r="AA37">
        <f>AA36*(1+$B$1)^21/((1+$B$1)^21-1)</f>
        <v>32.511224063996742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8531-CE6A-4731-B8C4-944ADEFF68E4}">
  <dimension ref="A1:K17"/>
  <sheetViews>
    <sheetView workbookViewId="0">
      <selection activeCell="F16" sqref="F16"/>
    </sheetView>
  </sheetViews>
  <sheetFormatPr baseColWidth="10" defaultRowHeight="15" x14ac:dyDescent="0.25"/>
  <cols>
    <col min="8" max="8" width="12" bestFit="1" customWidth="1"/>
    <col min="9" max="9" width="12" customWidth="1"/>
  </cols>
  <sheetData>
    <row r="1" spans="1:11" x14ac:dyDescent="0.25">
      <c r="A1" t="s">
        <v>24</v>
      </c>
      <c r="B1">
        <v>0.02</v>
      </c>
    </row>
    <row r="3" spans="1:11" x14ac:dyDescent="0.25">
      <c r="A3" t="s">
        <v>2</v>
      </c>
      <c r="B3" t="s">
        <v>6</v>
      </c>
      <c r="C3" t="s">
        <v>23</v>
      </c>
      <c r="F3" t="s">
        <v>32</v>
      </c>
      <c r="G3" t="s">
        <v>33</v>
      </c>
      <c r="H3" t="s">
        <v>25</v>
      </c>
      <c r="I3" t="s">
        <v>26</v>
      </c>
      <c r="J3" t="s">
        <v>34</v>
      </c>
      <c r="K3" t="s">
        <v>35</v>
      </c>
    </row>
    <row r="4" spans="1:11" x14ac:dyDescent="0.25">
      <c r="A4">
        <v>0</v>
      </c>
      <c r="B4">
        <v>-1000</v>
      </c>
      <c r="C4">
        <f>B4/(1+$B$1)^A4</f>
        <v>-1000</v>
      </c>
      <c r="E4">
        <v>0</v>
      </c>
      <c r="F4" s="4">
        <f>C8</f>
        <v>17265.305573063291</v>
      </c>
      <c r="G4" s="4">
        <f>F4+1000</f>
        <v>18265.305573063291</v>
      </c>
      <c r="H4">
        <f>$B$4/(1+$B$1)^J4+$B$5/(1+$B$1)^K4</f>
        <v>3101.7414993757766</v>
      </c>
      <c r="I4">
        <f>H4*(1+$B$1)^10/((1+$B$1)^10-1)</f>
        <v>17265.305573063291</v>
      </c>
      <c r="J4">
        <v>0</v>
      </c>
      <c r="K4">
        <v>10</v>
      </c>
    </row>
    <row r="5" spans="1:11" x14ac:dyDescent="0.25">
      <c r="A5">
        <v>10</v>
      </c>
      <c r="B5">
        <v>5000</v>
      </c>
      <c r="C5" s="4">
        <f>B5/(1+$B$1)^A5</f>
        <v>4101.7414993757766</v>
      </c>
      <c r="E5">
        <v>1</v>
      </c>
      <c r="F5" s="4">
        <f>G4*(1+$B$1)</f>
        <v>18630.611684524556</v>
      </c>
      <c r="G5" s="4">
        <f>F5</f>
        <v>18630.611684524556</v>
      </c>
      <c r="H5">
        <f t="shared" ref="H5:H14" si="0">$B$4/(1+$B$1)^J5+$B$5/(1+$B$1)^K5</f>
        <v>3347.0210634906339</v>
      </c>
      <c r="I5">
        <f t="shared" ref="I5:I14" si="1">H5*(1+$B$1)^10/((1+$B$1)^10-1)</f>
        <v>18630.61168452456</v>
      </c>
      <c r="J5">
        <v>9</v>
      </c>
      <c r="K5">
        <v>9</v>
      </c>
    </row>
    <row r="6" spans="1:11" x14ac:dyDescent="0.25">
      <c r="E6">
        <v>2</v>
      </c>
      <c r="F6" s="4">
        <f t="shared" ref="F6:F14" si="2">G5*(1+$B$1)</f>
        <v>19003.223918215048</v>
      </c>
      <c r="G6" s="4">
        <f t="shared" ref="G6:G13" si="3">F6</f>
        <v>19003.223918215048</v>
      </c>
      <c r="H6">
        <f t="shared" si="0"/>
        <v>3413.9614847604462</v>
      </c>
      <c r="I6">
        <f t="shared" si="1"/>
        <v>19003.223918215044</v>
      </c>
      <c r="J6">
        <v>8</v>
      </c>
      <c r="K6">
        <v>8</v>
      </c>
    </row>
    <row r="7" spans="1:11" x14ac:dyDescent="0.25">
      <c r="B7" t="s">
        <v>25</v>
      </c>
      <c r="C7" s="4">
        <f>SUM(C4:C5)</f>
        <v>3101.7414993757766</v>
      </c>
      <c r="E7">
        <v>3</v>
      </c>
      <c r="F7" s="4">
        <f t="shared" si="2"/>
        <v>19383.288396579348</v>
      </c>
      <c r="G7" s="4">
        <f t="shared" si="3"/>
        <v>19383.288396579348</v>
      </c>
      <c r="H7">
        <f t="shared" si="0"/>
        <v>3482.2407144556555</v>
      </c>
      <c r="I7">
        <f t="shared" si="1"/>
        <v>19383.288396579352</v>
      </c>
      <c r="J7">
        <v>7</v>
      </c>
      <c r="K7">
        <v>7</v>
      </c>
    </row>
    <row r="8" spans="1:11" x14ac:dyDescent="0.25">
      <c r="B8" t="s">
        <v>26</v>
      </c>
      <c r="C8" s="4">
        <f>C7*(1+B1)^10/((1+B1)^10-1)</f>
        <v>17265.305573063291</v>
      </c>
      <c r="E8">
        <v>4</v>
      </c>
      <c r="F8" s="4">
        <f t="shared" si="2"/>
        <v>19770.954164510935</v>
      </c>
      <c r="G8" s="4">
        <f t="shared" si="3"/>
        <v>19770.954164510935</v>
      </c>
      <c r="H8">
        <f t="shared" si="0"/>
        <v>3551.8855287447682</v>
      </c>
      <c r="I8">
        <f t="shared" si="1"/>
        <v>19770.954164510938</v>
      </c>
      <c r="J8">
        <v>6</v>
      </c>
      <c r="K8">
        <v>6</v>
      </c>
    </row>
    <row r="9" spans="1:11" x14ac:dyDescent="0.25">
      <c r="E9">
        <v>5</v>
      </c>
      <c r="F9" s="4">
        <f t="shared" si="2"/>
        <v>20166.373247801155</v>
      </c>
      <c r="G9" s="4">
        <f t="shared" si="3"/>
        <v>20166.373247801155</v>
      </c>
      <c r="H9">
        <f t="shared" si="0"/>
        <v>3622.9232393196639</v>
      </c>
      <c r="I9">
        <f t="shared" si="1"/>
        <v>20166.373247801155</v>
      </c>
      <c r="J9">
        <v>5</v>
      </c>
      <c r="K9">
        <v>5</v>
      </c>
    </row>
    <row r="10" spans="1:11" x14ac:dyDescent="0.25">
      <c r="E10">
        <v>6</v>
      </c>
      <c r="F10" s="4">
        <f t="shared" si="2"/>
        <v>20569.700712757178</v>
      </c>
      <c r="G10" s="4">
        <f t="shared" si="3"/>
        <v>20569.700712757178</v>
      </c>
      <c r="H10">
        <f t="shared" si="0"/>
        <v>3695.3817041060565</v>
      </c>
      <c r="I10">
        <f t="shared" si="1"/>
        <v>20569.700712757178</v>
      </c>
      <c r="J10">
        <v>4</v>
      </c>
      <c r="K10">
        <v>4</v>
      </c>
    </row>
    <row r="11" spans="1:11" x14ac:dyDescent="0.25">
      <c r="E11">
        <v>7</v>
      </c>
      <c r="F11" s="4">
        <f t="shared" si="2"/>
        <v>20981.094727012322</v>
      </c>
      <c r="G11" s="4">
        <f t="shared" si="3"/>
        <v>20981.094727012322</v>
      </c>
      <c r="H11">
        <f t="shared" si="0"/>
        <v>3769.2893381881781</v>
      </c>
      <c r="I11">
        <f t="shared" si="1"/>
        <v>20981.094727012322</v>
      </c>
      <c r="J11">
        <v>3</v>
      </c>
      <c r="K11">
        <v>3</v>
      </c>
    </row>
    <row r="12" spans="1:11" x14ac:dyDescent="0.25">
      <c r="E12">
        <v>8</v>
      </c>
      <c r="F12" s="4">
        <f t="shared" si="2"/>
        <v>21400.716621552569</v>
      </c>
      <c r="G12" s="4">
        <f t="shared" si="3"/>
        <v>21400.716621552569</v>
      </c>
      <c r="H12">
        <f t="shared" si="0"/>
        <v>3844.6751249519416</v>
      </c>
      <c r="I12">
        <f t="shared" si="1"/>
        <v>21400.716621552565</v>
      </c>
      <c r="J12">
        <v>2</v>
      </c>
      <c r="K12">
        <v>2</v>
      </c>
    </row>
    <row r="13" spans="1:11" x14ac:dyDescent="0.25">
      <c r="E13">
        <v>9</v>
      </c>
      <c r="F13" s="4">
        <f t="shared" si="2"/>
        <v>21828.730953983621</v>
      </c>
      <c r="G13" s="4">
        <f t="shared" si="3"/>
        <v>21828.730953983621</v>
      </c>
      <c r="H13">
        <f t="shared" si="0"/>
        <v>3921.5686274509803</v>
      </c>
      <c r="I13">
        <f t="shared" si="1"/>
        <v>21828.730953983617</v>
      </c>
      <c r="J13">
        <v>1</v>
      </c>
      <c r="K13">
        <v>1</v>
      </c>
    </row>
    <row r="14" spans="1:11" x14ac:dyDescent="0.25">
      <c r="E14">
        <v>10</v>
      </c>
      <c r="F14" s="4">
        <f t="shared" si="2"/>
        <v>22265.305573063295</v>
      </c>
      <c r="G14" s="4">
        <f>F14-B5</f>
        <v>17265.305573063295</v>
      </c>
      <c r="H14">
        <f t="shared" si="0"/>
        <v>4000</v>
      </c>
      <c r="I14">
        <f t="shared" si="1"/>
        <v>22265.305573063291</v>
      </c>
      <c r="J14">
        <v>0</v>
      </c>
      <c r="K14">
        <v>0</v>
      </c>
    </row>
    <row r="16" spans="1:11" x14ac:dyDescent="0.25">
      <c r="D16" t="s">
        <v>36</v>
      </c>
      <c r="F16" s="4">
        <f>AVERAGE(F5:F14)</f>
        <v>20400.000000000004</v>
      </c>
    </row>
    <row r="17" spans="6:6" x14ac:dyDescent="0.25">
      <c r="F17" s="4">
        <f>AVERAGE(F5:F14)</f>
        <v>20400.000000000004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E41592-42BD-4B3D-BBFA-5686AA622070}"/>
</file>

<file path=customXml/itemProps2.xml><?xml version="1.0" encoding="utf-8"?>
<ds:datastoreItem xmlns:ds="http://schemas.openxmlformats.org/officeDocument/2006/customXml" ds:itemID="{B464B438-DDF1-410A-A56D-B4CDED1D2A31}"/>
</file>

<file path=customXml/itemProps3.xml><?xml version="1.0" encoding="utf-8"?>
<ds:datastoreItem xmlns:ds="http://schemas.openxmlformats.org/officeDocument/2006/customXml" ds:itemID="{1420FC06-D6DE-464E-BE59-409D95D4A78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cas théorique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Ligot Gauthier</dc:creator>
  <cp:lastModifiedBy>Ligot Gauthier</cp:lastModifiedBy>
  <dcterms:created xsi:type="dcterms:W3CDTF">2026-04-16T11:13:00Z</dcterms:created>
  <dcterms:modified xsi:type="dcterms:W3CDTF">2026-04-17T06:38:52Z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