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8_{70A8F52F-D9DF-4D4C-8ED9-3190B2CAC96D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Synthèse" sheetId="37" r:id="rId1"/>
    <sheet name="Do0A" sheetId="35" r:id="rId2"/>
    <sheet name="Do1A" sheetId="22" r:id="rId3"/>
    <sheet name="Do2A" sheetId="26" r:id="rId4"/>
    <sheet name="Do3A" sheetId="30" r:id="rId5"/>
    <sheet name="Do4A" sheetId="33" r:id="rId6"/>
    <sheet name="Do0B" sheetId="36" r:id="rId7"/>
    <sheet name="Do1B" sheetId="24" r:id="rId8"/>
    <sheet name="Do2B" sheetId="28" r:id="rId9"/>
    <sheet name="Do3B" sheetId="32" r:id="rId10"/>
    <sheet name="Do4B" sheetId="3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37" l="1"/>
  <c r="E50" i="37"/>
  <c r="E49" i="37"/>
  <c r="E48" i="37"/>
  <c r="E47" i="37"/>
  <c r="E40" i="37"/>
  <c r="E39" i="37"/>
  <c r="E38" i="37"/>
  <c r="E37" i="37"/>
  <c r="E36" i="37"/>
  <c r="H40" i="37"/>
  <c r="H51" i="37"/>
  <c r="M51" i="37"/>
  <c r="L51" i="37"/>
  <c r="J51" i="37"/>
  <c r="I51" i="37"/>
  <c r="G51" i="37"/>
  <c r="F51" i="37"/>
  <c r="M40" i="37"/>
  <c r="L40" i="37"/>
  <c r="J40" i="37"/>
  <c r="I40" i="37"/>
  <c r="G40" i="37"/>
  <c r="F40" i="37"/>
  <c r="M50" i="37"/>
  <c r="L50" i="37"/>
  <c r="J50" i="37"/>
  <c r="I50" i="37"/>
  <c r="H50" i="37"/>
  <c r="G50" i="37"/>
  <c r="F50" i="37"/>
  <c r="M39" i="37"/>
  <c r="L39" i="37"/>
  <c r="J39" i="37"/>
  <c r="I39" i="37"/>
  <c r="G39" i="37"/>
  <c r="F39" i="37"/>
  <c r="H39" i="37"/>
  <c r="M49" i="37"/>
  <c r="L49" i="37"/>
  <c r="J49" i="37"/>
  <c r="I49" i="37"/>
  <c r="H49" i="37"/>
  <c r="G49" i="37"/>
  <c r="F49" i="37"/>
  <c r="M38" i="37"/>
  <c r="L38" i="37"/>
  <c r="J38" i="37"/>
  <c r="I38" i="37"/>
  <c r="H38" i="37"/>
  <c r="K38" i="37" s="1"/>
  <c r="G38" i="37"/>
  <c r="F38" i="37"/>
  <c r="P51" i="37"/>
  <c r="P50" i="37"/>
  <c r="P49" i="37"/>
  <c r="P48" i="37"/>
  <c r="P47" i="37"/>
  <c r="P40" i="37"/>
  <c r="O40" i="37" s="1"/>
  <c r="P39" i="37"/>
  <c r="P38" i="37"/>
  <c r="P37" i="37"/>
  <c r="P36" i="37"/>
  <c r="Q51" i="37"/>
  <c r="Q50" i="37"/>
  <c r="Q49" i="37"/>
  <c r="Q48" i="37"/>
  <c r="Q47" i="37"/>
  <c r="Q40" i="37"/>
  <c r="Q39" i="37"/>
  <c r="Q38" i="37"/>
  <c r="O38" i="37" s="1"/>
  <c r="Q37" i="37"/>
  <c r="Q36" i="37"/>
  <c r="M48" i="37"/>
  <c r="L48" i="37"/>
  <c r="J48" i="37"/>
  <c r="I48" i="37"/>
  <c r="H48" i="37"/>
  <c r="G48" i="37"/>
  <c r="F48" i="37"/>
  <c r="M37" i="37"/>
  <c r="L37" i="37"/>
  <c r="J37" i="37"/>
  <c r="I37" i="37"/>
  <c r="G37" i="37"/>
  <c r="F37" i="37"/>
  <c r="M47" i="37"/>
  <c r="L47" i="37"/>
  <c r="J47" i="37"/>
  <c r="I47" i="37"/>
  <c r="H47" i="37"/>
  <c r="G47" i="37"/>
  <c r="F47" i="37"/>
  <c r="M36" i="37"/>
  <c r="L36" i="37"/>
  <c r="J36" i="37"/>
  <c r="I36" i="37"/>
  <c r="H36" i="37"/>
  <c r="G36" i="37"/>
  <c r="F36" i="37"/>
  <c r="H37" i="37"/>
  <c r="N51" i="37"/>
  <c r="N50" i="37"/>
  <c r="N49" i="37"/>
  <c r="N48" i="37"/>
  <c r="N47" i="37"/>
  <c r="N40" i="37"/>
  <c r="N39" i="37"/>
  <c r="N38" i="37"/>
  <c r="N37" i="37"/>
  <c r="N36" i="37"/>
  <c r="D51" i="37"/>
  <c r="D50" i="37"/>
  <c r="D49" i="37"/>
  <c r="D48" i="37"/>
  <c r="D47" i="37"/>
  <c r="D40" i="37"/>
  <c r="D39" i="37"/>
  <c r="D38" i="37"/>
  <c r="D37" i="37"/>
  <c r="D36" i="37"/>
  <c r="O51" i="37" l="1"/>
  <c r="K49" i="37"/>
  <c r="O50" i="37"/>
  <c r="K39" i="37"/>
  <c r="O39" i="37"/>
  <c r="O48" i="37"/>
  <c r="K51" i="37"/>
  <c r="O47" i="37"/>
  <c r="O37" i="37"/>
  <c r="K37" i="37"/>
  <c r="K36" i="37"/>
  <c r="K50" i="37"/>
  <c r="K48" i="37"/>
  <c r="K47" i="37"/>
  <c r="K40" i="37"/>
  <c r="O36" i="37"/>
  <c r="O49" i="37"/>
</calcChain>
</file>

<file path=xl/sharedStrings.xml><?xml version="1.0" encoding="utf-8"?>
<sst xmlns="http://schemas.openxmlformats.org/spreadsheetml/2006/main" count="1488" uniqueCount="127">
  <si>
    <t>Table de production</t>
  </si>
  <si>
    <t>Age</t>
  </si>
  <si>
    <t>Hdom</t>
  </si>
  <si>
    <t>Accroissements</t>
  </si>
  <si>
    <t>Nha</t>
  </si>
  <si>
    <t>Cg</t>
  </si>
  <si>
    <t>Gha</t>
  </si>
  <si>
    <t>Vha</t>
  </si>
  <si>
    <t>ACG</t>
  </si>
  <si>
    <t>AMG</t>
  </si>
  <si>
    <t>ACV</t>
  </si>
  <si>
    <t>AMV</t>
  </si>
  <si>
    <t>PTV</t>
  </si>
  <si>
    <t>Total</t>
  </si>
  <si>
    <t>h/d</t>
  </si>
  <si>
    <t>Classe II (36 m à 50 ans)</t>
  </si>
  <si>
    <t>ACC</t>
  </si>
  <si>
    <t>AMC</t>
  </si>
  <si>
    <t>Recettes</t>
  </si>
  <si>
    <t>20-40</t>
  </si>
  <si>
    <t>40-60</t>
  </si>
  <si>
    <t>60-70</t>
  </si>
  <si>
    <t>70-90</t>
  </si>
  <si>
    <t>90-120</t>
  </si>
  <si>
    <t>120-150</t>
  </si>
  <si>
    <t>150-180</t>
  </si>
  <si>
    <t>180+</t>
  </si>
  <si>
    <t>-</t>
  </si>
  <si>
    <t>Classe I (40 m à 50 ans)</t>
  </si>
  <si>
    <t>Dist</t>
  </si>
  <si>
    <t>Distribution des volumes produits par classe de grosseur</t>
  </si>
  <si>
    <t>Classes de grosseur - Volume sur pied</t>
  </si>
  <si>
    <t>Classes de grosseur - Volume prélevés</t>
  </si>
  <si>
    <t>Classe III (32 m à 50 ans)</t>
  </si>
  <si>
    <t>Classe IV (28 m à 50 ans)</t>
  </si>
  <si>
    <t>Classe 0 (44 m à 50 ans)</t>
  </si>
  <si>
    <t>Caractéristique de la coupe rase</t>
  </si>
  <si>
    <t>Nouvelles normes sylvicoles pour les peuplements purs équiennes de douglas</t>
  </si>
  <si>
    <t>Classe de productivité</t>
  </si>
  <si>
    <t>IV</t>
  </si>
  <si>
    <t>III</t>
  </si>
  <si>
    <t>II</t>
  </si>
  <si>
    <t>I</t>
  </si>
  <si>
    <t>Age cible</t>
  </si>
  <si>
    <t>Productivité</t>
  </si>
  <si>
    <t>1ère éclaircie</t>
  </si>
  <si>
    <t>Classe</t>
  </si>
  <si>
    <t>H50</t>
  </si>
  <si>
    <r>
      <t xml:space="preserve">VA </t>
    </r>
    <r>
      <rPr>
        <b/>
        <sz val="12"/>
        <color theme="1"/>
        <rFont val="Calibri"/>
        <family val="2"/>
      </rPr>
      <t>Ecl</t>
    </r>
  </si>
  <si>
    <r>
      <t xml:space="preserve">VA </t>
    </r>
    <r>
      <rPr>
        <b/>
        <sz val="12"/>
        <color theme="1"/>
        <rFont val="Calibri"/>
        <family val="2"/>
      </rPr>
      <t>Mab</t>
    </r>
  </si>
  <si>
    <r>
      <t>VA</t>
    </r>
    <r>
      <rPr>
        <b/>
        <sz val="12"/>
        <color theme="1"/>
        <rFont val="Calibri"/>
        <family val="2"/>
      </rPr>
      <t xml:space="preserve"> Total</t>
    </r>
  </si>
  <si>
    <t>Caractéristique  de la coupe rase</t>
  </si>
  <si>
    <t>m²/ha/an</t>
  </si>
  <si>
    <t>m²/ha</t>
  </si>
  <si>
    <t>cm</t>
  </si>
  <si>
    <t>cm/ha/an</t>
  </si>
  <si>
    <t>m³/ha/an</t>
  </si>
  <si>
    <t>m³/ha</t>
  </si>
  <si>
    <t>m</t>
  </si>
  <si>
    <t>N/ha</t>
  </si>
  <si>
    <t>années</t>
  </si>
  <si>
    <t>cm/an</t>
  </si>
  <si>
    <t>%</t>
  </si>
  <si>
    <t>Ecl</t>
  </si>
  <si>
    <t>€ /ha</t>
  </si>
  <si>
    <t>Classe de productivité 0, plantation 2.5 x 2 m</t>
  </si>
  <si>
    <t>Classe de productivité 1, plantation 2.5 x 2 m</t>
  </si>
  <si>
    <t>Classe de productivité 2, plantation 2.5 x 2 m</t>
  </si>
  <si>
    <t>Classe de productivité 3, plantation 2.5 x 2 m</t>
  </si>
  <si>
    <t>Classe de productivité 4, plantation 2.5 x 2 m</t>
  </si>
  <si>
    <t>Classe de productivité 0, plantation 2 x 2 m</t>
  </si>
  <si>
    <t>Classe de productivité 1, plantation 2 x 2 m</t>
  </si>
  <si>
    <t>Classe de productivité 2, plantation 2 x 2 m</t>
  </si>
  <si>
    <t>Classe de productivité 3, plantation 2 x 2 m</t>
  </si>
  <si>
    <t>Classe de productivité 4, plantation 2 x 2 m</t>
  </si>
  <si>
    <t>J. Perin, 2016</t>
  </si>
  <si>
    <t>(j.perin@ulg.ac.be)</t>
  </si>
  <si>
    <t>Accroissement et stabilité</t>
  </si>
  <si>
    <t>Caractéristiques :</t>
  </si>
  <si>
    <t>Essence : douglas</t>
  </si>
  <si>
    <t>Cloisonnement : 1 ligne sur 9</t>
  </si>
  <si>
    <t>Taux d'actualisation : 2 %</t>
  </si>
  <si>
    <t>Rotation : 6 ans</t>
  </si>
  <si>
    <t>Plantation : 2.5 x 2 (85% de reprise)</t>
  </si>
  <si>
    <t>Plantation : 2 x 2 (85% de reprise)</t>
  </si>
  <si>
    <t>Cloisonnement : 1 ligne sur 11</t>
  </si>
  <si>
    <t>Accord-Cadre IV (2014 -2019)</t>
  </si>
  <si>
    <t>de Recherche et de Vulgarisation forestières</t>
  </si>
  <si>
    <t>Description</t>
  </si>
  <si>
    <t>Age depuis la plantation (on considère que les plants sont âgé de 3 ans lors de la plantation)</t>
  </si>
  <si>
    <t>Hauteur dominante (moyenne des hauteur des 100 plus gros arbres à l'hectare) en m</t>
  </si>
  <si>
    <t>Nombre de tige par hectare</t>
  </si>
  <si>
    <t>Surface terrière totale par hectare (m²/ha)</t>
  </si>
  <si>
    <t>Volume sur pied total par hectare à la recoupe 22 cm (m³/ha)</t>
  </si>
  <si>
    <t>Accroissement courant en circonférence à hauteur de poitrine (cm/an)</t>
  </si>
  <si>
    <t>Accroissement courant en surface terrière (m²/ha/an)</t>
  </si>
  <si>
    <t>Accroissement moyen en surface terrière depuis la plantation (m²/ha/an)</t>
  </si>
  <si>
    <t>Accroissement courant en volume (m³/ha/an)</t>
  </si>
  <si>
    <t>Accroissement moyen en volume depuis la plantation (m³/ha/an)</t>
  </si>
  <si>
    <t>Production totale en volume depuis la plantation (m³/ha)</t>
  </si>
  <si>
    <t>% Ecl</t>
  </si>
  <si>
    <t>Distance moyenne en mètre entre les arbres après l'éclaircie</t>
  </si>
  <si>
    <t>Prélèvement</t>
  </si>
  <si>
    <t>Après prélèvement</t>
  </si>
  <si>
    <t>Avant prélèvement</t>
  </si>
  <si>
    <t>Coefficient de stabilité des peuplements: hauteur dominante divisée par le diamètre moyen</t>
  </si>
  <si>
    <t>VMA</t>
  </si>
  <si>
    <t>VMA totale</t>
  </si>
  <si>
    <t>Circonférence à hauteur de poitrine de l'arbre de surface terrière moyenne en cm</t>
  </si>
  <si>
    <t>VMV</t>
  </si>
  <si>
    <t>VMP</t>
  </si>
  <si>
    <t>Variables</t>
  </si>
  <si>
    <t>Pourcentage du nombre de tige sur pied prélevé lors de l'éclaircie</t>
  </si>
  <si>
    <t>Somme des VMA des prélèvements précédents et du volume sur pied de l'année en cours (€ /ha)</t>
  </si>
  <si>
    <t>VMV*</t>
  </si>
  <si>
    <t>VMP*</t>
  </si>
  <si>
    <t>VMA*</t>
  </si>
  <si>
    <t>VMA Totale*</t>
  </si>
  <si>
    <t>Valeur marchande du volume sur pied (€ /ha) estimée sur base des prix de ventes observés entre 2012 et 2014</t>
  </si>
  <si>
    <t>Valeur marchande des prélèvements (€ /ha) estimée sur base des prix de ventes observés entre 2012 et 2014</t>
  </si>
  <si>
    <t>Valeur marchande estimée actualisée à l'année de la plantation (taux d'actualisation de 2%) en € /ha</t>
  </si>
  <si>
    <t>*Les chiffres présentés représentent une estimation moyenne et n'engagent en rien les auteurs de ces outils</t>
  </si>
  <si>
    <t>3. Légende des tables de production</t>
  </si>
  <si>
    <t>2.2. Ecartement à la plantation : 2 x 2 m</t>
  </si>
  <si>
    <t>2.1. Ecartement à la plantation : 2.5 x 2 m</t>
  </si>
  <si>
    <t>2. Synthèse des nouvelles normes</t>
  </si>
  <si>
    <t>1. Evolution de la hauteur dominante selon les 5 classes de productivité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</si>
</sst>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8" applyNumberFormat="0" applyFill="0" applyAlignment="0" applyProtection="0"/>
    <xf numFmtId="0" fontId="7" fillId="0" borderId="9" applyNumberFormat="0" applyFill="0" applyAlignment="0" applyProtection="0"/>
    <xf numFmtId="0" fontId="8" fillId="0" borderId="10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11" applyNumberFormat="0" applyAlignment="0" applyProtection="0"/>
    <xf numFmtId="0" fontId="13" fillId="7" borderId="12" applyNumberFormat="0" applyAlignment="0" applyProtection="0"/>
    <xf numFmtId="0" fontId="14" fillId="7" borderId="11" applyNumberFormat="0" applyAlignment="0" applyProtection="0"/>
    <xf numFmtId="0" fontId="15" fillId="0" borderId="13" applyNumberFormat="0" applyFill="0" applyAlignment="0" applyProtection="0"/>
    <xf numFmtId="0" fontId="16" fillId="8" borderId="14" applyNumberFormat="0" applyAlignment="0" applyProtection="0"/>
    <xf numFmtId="0" fontId="17" fillId="0" borderId="0" applyNumberFormat="0" applyFill="0" applyBorder="0" applyAlignment="0" applyProtection="0"/>
    <xf numFmtId="0" fontId="4" fillId="9" borderId="15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19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19" fillId="33" borderId="0" applyNumberFormat="0" applyBorder="0" applyAlignment="0" applyProtection="0"/>
  </cellStyleXfs>
  <cellXfs count="15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/>
    <xf numFmtId="1" fontId="0" fillId="0" borderId="5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20" fillId="0" borderId="0" xfId="0" applyFont="1" applyAlignment="1">
      <alignment horizontal="left"/>
    </xf>
    <xf numFmtId="0" fontId="23" fillId="0" borderId="1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2" borderId="6" xfId="0" applyFont="1" applyFill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5" fillId="0" borderId="19" xfId="0" applyFont="1" applyBorder="1" applyAlignment="1">
      <alignment horizontal="center" wrapText="1"/>
    </xf>
    <xf numFmtId="0" fontId="25" fillId="0" borderId="20" xfId="0" applyFont="1" applyBorder="1" applyAlignment="1">
      <alignment horizontal="center" wrapText="1"/>
    </xf>
    <xf numFmtId="0" fontId="25" fillId="0" borderId="21" xfId="0" applyFont="1" applyBorder="1" applyAlignment="1">
      <alignment horizontal="center" wrapText="1"/>
    </xf>
    <xf numFmtId="0" fontId="28" fillId="0" borderId="0" xfId="0" applyFont="1" applyAlignment="1">
      <alignment horizontal="center" vertical="top"/>
    </xf>
    <xf numFmtId="0" fontId="28" fillId="0" borderId="17" xfId="0" applyFont="1" applyBorder="1" applyAlignment="1">
      <alignment horizontal="center" vertical="top" wrapText="1"/>
    </xf>
    <xf numFmtId="0" fontId="28" fillId="0" borderId="22" xfId="0" applyFont="1" applyBorder="1" applyAlignment="1">
      <alignment horizontal="center" vertical="top" wrapText="1"/>
    </xf>
    <xf numFmtId="0" fontId="28" fillId="0" borderId="18" xfId="0" applyFont="1" applyBorder="1" applyAlignment="1">
      <alignment horizontal="center" vertical="top" wrapText="1"/>
    </xf>
    <xf numFmtId="0" fontId="25" fillId="0" borderId="23" xfId="0" applyFont="1" applyBorder="1" applyAlignment="1">
      <alignment horizontal="center"/>
    </xf>
    <xf numFmtId="0" fontId="26" fillId="0" borderId="24" xfId="0" applyFont="1" applyBorder="1" applyAlignment="1">
      <alignment horizontal="center"/>
    </xf>
    <xf numFmtId="0" fontId="26" fillId="0" borderId="23" xfId="0" applyFont="1" applyBorder="1" applyAlignment="1">
      <alignment horizontal="center"/>
    </xf>
    <xf numFmtId="1" fontId="26" fillId="0" borderId="23" xfId="0" applyNumberFormat="1" applyFont="1" applyBorder="1" applyAlignment="1">
      <alignment horizontal="center"/>
    </xf>
    <xf numFmtId="1" fontId="26" fillId="0" borderId="0" xfId="0" applyNumberFormat="1" applyFont="1" applyAlignment="1">
      <alignment horizontal="center"/>
    </xf>
    <xf numFmtId="1" fontId="26" fillId="0" borderId="24" xfId="0" applyNumberFormat="1" applyFont="1" applyBorder="1" applyAlignment="1">
      <alignment horizontal="center"/>
    </xf>
    <xf numFmtId="165" fontId="26" fillId="0" borderId="23" xfId="0" applyNumberFormat="1" applyFont="1" applyBorder="1" applyAlignment="1">
      <alignment horizontal="center"/>
    </xf>
    <xf numFmtId="3" fontId="26" fillId="0" borderId="0" xfId="0" applyNumberFormat="1" applyFont="1" applyAlignment="1">
      <alignment horizontal="center"/>
    </xf>
    <xf numFmtId="165" fontId="26" fillId="0" borderId="0" xfId="0" applyNumberFormat="1" applyFont="1" applyAlignment="1">
      <alignment horizontal="center"/>
    </xf>
    <xf numFmtId="3" fontId="26" fillId="0" borderId="23" xfId="0" applyNumberFormat="1" applyFont="1" applyBorder="1" applyAlignment="1">
      <alignment horizontal="right"/>
    </xf>
    <xf numFmtId="3" fontId="26" fillId="0" borderId="0" xfId="0" applyNumberFormat="1" applyFont="1" applyAlignment="1">
      <alignment horizontal="right"/>
    </xf>
    <xf numFmtId="3" fontId="26" fillId="0" borderId="24" xfId="0" applyNumberFormat="1" applyFont="1" applyBorder="1" applyAlignment="1">
      <alignment horizontal="right"/>
    </xf>
    <xf numFmtId="0" fontId="25" fillId="2" borderId="23" xfId="0" applyFont="1" applyFill="1" applyBorder="1" applyAlignment="1">
      <alignment horizontal="center"/>
    </xf>
    <xf numFmtId="0" fontId="26" fillId="2" borderId="24" xfId="0" applyFont="1" applyFill="1" applyBorder="1" applyAlignment="1">
      <alignment horizontal="center"/>
    </xf>
    <xf numFmtId="0" fontId="26" fillId="2" borderId="23" xfId="0" applyFont="1" applyFill="1" applyBorder="1" applyAlignment="1">
      <alignment horizontal="center"/>
    </xf>
    <xf numFmtId="1" fontId="26" fillId="2" borderId="23" xfId="0" applyNumberFormat="1" applyFont="1" applyFill="1" applyBorder="1" applyAlignment="1">
      <alignment horizontal="center"/>
    </xf>
    <xf numFmtId="1" fontId="26" fillId="2" borderId="0" xfId="0" applyNumberFormat="1" applyFont="1" applyFill="1" applyAlignment="1">
      <alignment horizontal="center"/>
    </xf>
    <xf numFmtId="1" fontId="26" fillId="2" borderId="24" xfId="0" applyNumberFormat="1" applyFont="1" applyFill="1" applyBorder="1" applyAlignment="1">
      <alignment horizontal="center"/>
    </xf>
    <xf numFmtId="165" fontId="26" fillId="2" borderId="23" xfId="0" applyNumberFormat="1" applyFont="1" applyFill="1" applyBorder="1" applyAlignment="1">
      <alignment horizontal="center"/>
    </xf>
    <xf numFmtId="3" fontId="26" fillId="2" borderId="0" xfId="0" applyNumberFormat="1" applyFont="1" applyFill="1" applyAlignment="1">
      <alignment horizontal="center"/>
    </xf>
    <xf numFmtId="165" fontId="26" fillId="2" borderId="0" xfId="0" applyNumberFormat="1" applyFont="1" applyFill="1" applyAlignment="1">
      <alignment horizontal="center"/>
    </xf>
    <xf numFmtId="3" fontId="26" fillId="2" borderId="23" xfId="0" applyNumberFormat="1" applyFont="1" applyFill="1" applyBorder="1" applyAlignment="1">
      <alignment horizontal="right"/>
    </xf>
    <xf numFmtId="3" fontId="26" fillId="2" borderId="0" xfId="0" applyNumberFormat="1" applyFont="1" applyFill="1" applyAlignment="1">
      <alignment horizontal="right"/>
    </xf>
    <xf numFmtId="3" fontId="26" fillId="2" borderId="24" xfId="0" applyNumberFormat="1" applyFont="1" applyFill="1" applyBorder="1" applyAlignment="1">
      <alignment horizontal="right"/>
    </xf>
    <xf numFmtId="0" fontId="25" fillId="0" borderId="17" xfId="0" applyFont="1" applyBorder="1" applyAlignment="1">
      <alignment horizontal="center"/>
    </xf>
    <xf numFmtId="0" fontId="26" fillId="0" borderId="22" xfId="0" applyFont="1" applyBorder="1" applyAlignment="1">
      <alignment horizontal="center"/>
    </xf>
    <xf numFmtId="0" fontId="26" fillId="0" borderId="17" xfId="0" applyFont="1" applyBorder="1" applyAlignment="1">
      <alignment horizontal="center"/>
    </xf>
    <xf numFmtId="1" fontId="26" fillId="0" borderId="17" xfId="0" applyNumberFormat="1" applyFont="1" applyBorder="1" applyAlignment="1">
      <alignment horizontal="center"/>
    </xf>
    <xf numFmtId="1" fontId="26" fillId="0" borderId="18" xfId="0" applyNumberFormat="1" applyFont="1" applyBorder="1" applyAlignment="1">
      <alignment horizontal="center"/>
    </xf>
    <xf numFmtId="1" fontId="26" fillId="0" borderId="22" xfId="0" applyNumberFormat="1" applyFont="1" applyBorder="1" applyAlignment="1">
      <alignment horizontal="center"/>
    </xf>
    <xf numFmtId="165" fontId="26" fillId="0" borderId="17" xfId="0" applyNumberFormat="1" applyFont="1" applyBorder="1" applyAlignment="1">
      <alignment horizontal="center"/>
    </xf>
    <xf numFmtId="3" fontId="26" fillId="0" borderId="18" xfId="0" applyNumberFormat="1" applyFont="1" applyBorder="1" applyAlignment="1">
      <alignment horizontal="center"/>
    </xf>
    <xf numFmtId="165" fontId="26" fillId="0" borderId="18" xfId="0" applyNumberFormat="1" applyFont="1" applyBorder="1" applyAlignment="1">
      <alignment horizontal="center"/>
    </xf>
    <xf numFmtId="3" fontId="26" fillId="0" borderId="17" xfId="0" applyNumberFormat="1" applyFont="1" applyBorder="1" applyAlignment="1">
      <alignment horizontal="right"/>
    </xf>
    <xf numFmtId="3" fontId="26" fillId="0" borderId="18" xfId="0" applyNumberFormat="1" applyFont="1" applyBorder="1" applyAlignment="1">
      <alignment horizontal="right"/>
    </xf>
    <xf numFmtId="3" fontId="26" fillId="0" borderId="22" xfId="0" applyNumberFormat="1" applyFont="1" applyBorder="1" applyAlignment="1">
      <alignment horizontal="right"/>
    </xf>
    <xf numFmtId="0" fontId="26" fillId="0" borderId="0" xfId="0" applyFont="1" applyAlignment="1">
      <alignment horizontal="right"/>
    </xf>
    <xf numFmtId="0" fontId="0" fillId="0" borderId="23" xfId="0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30" fillId="0" borderId="0" xfId="0" applyFont="1"/>
    <xf numFmtId="0" fontId="30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29" fillId="0" borderId="7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0" fillId="2" borderId="6" xfId="0" applyFill="1" applyBorder="1" applyAlignment="1">
      <alignment horizontal="center"/>
    </xf>
    <xf numFmtId="165" fontId="0" fillId="2" borderId="6" xfId="0" applyNumberFormat="1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3" fontId="0" fillId="2" borderId="6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5" fontId="0" fillId="2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3" fontId="0" fillId="2" borderId="7" xfId="0" applyNumberFormat="1" applyFill="1" applyBorder="1" applyAlignment="1">
      <alignment horizontal="center"/>
    </xf>
    <xf numFmtId="1" fontId="0" fillId="2" borderId="7" xfId="0" quotePrefix="1" applyNumberFormat="1" applyFill="1" applyBorder="1" applyAlignment="1">
      <alignment horizontal="center"/>
    </xf>
    <xf numFmtId="165" fontId="0" fillId="2" borderId="7" xfId="0" quotePrefix="1" applyNumberFormat="1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35" fillId="0" borderId="0" xfId="0" applyFont="1"/>
    <xf numFmtId="0" fontId="36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22" xfId="0" applyBorder="1"/>
    <xf numFmtId="0" fontId="1" fillId="0" borderId="1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0" fillId="2" borderId="23" xfId="0" applyFill="1" applyBorder="1"/>
    <xf numFmtId="0" fontId="0" fillId="2" borderId="0" xfId="0" applyFill="1"/>
    <xf numFmtId="0" fontId="0" fillId="2" borderId="24" xfId="0" applyFill="1" applyBorder="1"/>
    <xf numFmtId="0" fontId="0" fillId="0" borderId="23" xfId="0" applyBorder="1"/>
    <xf numFmtId="0" fontId="0" fillId="0" borderId="0" xfId="0"/>
    <xf numFmtId="0" fontId="0" fillId="0" borderId="24" xfId="0" applyBorder="1"/>
    <xf numFmtId="0" fontId="1" fillId="2" borderId="17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0" fillId="2" borderId="17" xfId="0" applyFill="1" applyBorder="1"/>
    <xf numFmtId="0" fontId="0" fillId="2" borderId="18" xfId="0" applyFill="1" applyBorder="1"/>
    <xf numFmtId="0" fontId="0" fillId="2" borderId="22" xfId="0" applyFill="1" applyBorder="1"/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19" xfId="0" applyBorder="1"/>
    <xf numFmtId="0" fontId="0" fillId="0" borderId="21" xfId="0" applyBorder="1"/>
    <xf numFmtId="0" fontId="0" fillId="0" borderId="20" xfId="0" applyBorder="1"/>
    <xf numFmtId="0" fontId="25" fillId="0" borderId="1" xfId="0" applyFont="1" applyBorder="1" applyAlignment="1">
      <alignment horizontal="center"/>
    </xf>
    <xf numFmtId="0" fontId="25" fillId="0" borderId="2" xfId="0" applyFont="1" applyBorder="1"/>
    <xf numFmtId="0" fontId="25" fillId="0" borderId="1" xfId="0" applyFont="1" applyBorder="1"/>
    <xf numFmtId="0" fontId="31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2" fillId="0" borderId="1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0" fontId="26" fillId="0" borderId="5" xfId="0" applyFont="1" applyBorder="1"/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w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104773</xdr:colOff>
      <xdr:row>6</xdr:row>
      <xdr:rowOff>314324</xdr:rowOff>
    </xdr:from>
    <xdr:to>
      <xdr:col>17</xdr:col>
      <xdr:colOff>266698</xdr:colOff>
      <xdr:row>27</xdr:row>
      <xdr:rowOff>156209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38523" y="1066799"/>
          <a:ext cx="5486400" cy="40233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133360</xdr:colOff>
      <xdr:row>1</xdr:row>
      <xdr:rowOff>104790</xdr:rowOff>
    </xdr:from>
    <xdr:to>
      <xdr:col>5</xdr:col>
      <xdr:colOff>393421</xdr:colOff>
      <xdr:row>3</xdr:row>
      <xdr:rowOff>79327</xdr:rowOff>
    </xdr:to>
    <xdr:pic>
      <xdr:nvPicPr>
        <xdr:cNvPr id="17" name="Image 16" descr="Logo414x80px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4360" y="295290"/>
          <a:ext cx="2317461" cy="507937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180976</xdr:colOff>
      <xdr:row>1</xdr:row>
      <xdr:rowOff>1</xdr:rowOff>
    </xdr:from>
    <xdr:to>
      <xdr:col>15</xdr:col>
      <xdr:colOff>76702</xdr:colOff>
      <xdr:row>3</xdr:row>
      <xdr:rowOff>188496</xdr:rowOff>
    </xdr:to>
    <xdr:pic>
      <xdr:nvPicPr>
        <xdr:cNvPr id="18" name="Image 17" descr="SPW_logo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800851" y="190501"/>
          <a:ext cx="962526" cy="721895"/>
        </a:xfrm>
        <a:prstGeom prst="rect">
          <a:avLst/>
        </a:prstGeom>
      </xdr:spPr>
    </xdr:pic>
    <xdr:clientData/>
  </xdr:twoCellAnchor>
  <xdr:twoCellAnchor editAs="oneCell">
    <xdr:from>
      <xdr:col>15</xdr:col>
      <xdr:colOff>266700</xdr:colOff>
      <xdr:row>1</xdr:row>
      <xdr:rowOff>9526</xdr:rowOff>
    </xdr:from>
    <xdr:to>
      <xdr:col>16</xdr:col>
      <xdr:colOff>403158</xdr:colOff>
      <xdr:row>3</xdr:row>
      <xdr:rowOff>131503</xdr:rowOff>
    </xdr:to>
    <xdr:pic>
      <xdr:nvPicPr>
        <xdr:cNvPr id="19" name="Image 18" descr="dgo3transnew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953375" y="200026"/>
          <a:ext cx="688908" cy="6553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200030</xdr:colOff>
      <xdr:row>39</xdr:row>
      <xdr:rowOff>57155</xdr:rowOff>
    </xdr:from>
    <xdr:to>
      <xdr:col>5</xdr:col>
      <xdr:colOff>279116</xdr:colOff>
      <xdr:row>41</xdr:row>
      <xdr:rowOff>184092</xdr:rowOff>
    </xdr:to>
    <xdr:pic>
      <xdr:nvPicPr>
        <xdr:cNvPr id="5" name="Image 4" descr="Logo414x80px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19805" y="828680"/>
          <a:ext cx="2317461" cy="507937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38</xdr:row>
      <xdr:rowOff>133349</xdr:rowOff>
    </xdr:from>
    <xdr:to>
      <xdr:col>7</xdr:col>
      <xdr:colOff>443664</xdr:colOff>
      <xdr:row>41</xdr:row>
      <xdr:rowOff>187491</xdr:rowOff>
    </xdr:to>
    <xdr:pic>
      <xdr:nvPicPr>
        <xdr:cNvPr id="6" name="Image 5" descr="SPW_logo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62975" y="714374"/>
          <a:ext cx="834189" cy="625642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38</xdr:row>
      <xdr:rowOff>171451</xdr:rowOff>
    </xdr:from>
    <xdr:to>
      <xdr:col>9</xdr:col>
      <xdr:colOff>439042</xdr:colOff>
      <xdr:row>41</xdr:row>
      <xdr:rowOff>189790</xdr:rowOff>
    </xdr:to>
    <xdr:pic>
      <xdr:nvPicPr>
        <xdr:cNvPr id="10" name="Image 9" descr="dgo3transnew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667875" y="752476"/>
          <a:ext cx="620017" cy="5898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200030</xdr:colOff>
      <xdr:row>39</xdr:row>
      <xdr:rowOff>57155</xdr:rowOff>
    </xdr:from>
    <xdr:to>
      <xdr:col>5</xdr:col>
      <xdr:colOff>279116</xdr:colOff>
      <xdr:row>41</xdr:row>
      <xdr:rowOff>184092</xdr:rowOff>
    </xdr:to>
    <xdr:pic>
      <xdr:nvPicPr>
        <xdr:cNvPr id="5" name="Image 4" descr="Logo414x80px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30" y="7610480"/>
          <a:ext cx="2317461" cy="507937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38</xdr:row>
      <xdr:rowOff>133349</xdr:rowOff>
    </xdr:from>
    <xdr:to>
      <xdr:col>7</xdr:col>
      <xdr:colOff>443664</xdr:colOff>
      <xdr:row>41</xdr:row>
      <xdr:rowOff>187491</xdr:rowOff>
    </xdr:to>
    <xdr:pic>
      <xdr:nvPicPr>
        <xdr:cNvPr id="6" name="Image 5" descr="SPW_logo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43200" y="7496174"/>
          <a:ext cx="834189" cy="625642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38</xdr:row>
      <xdr:rowOff>171451</xdr:rowOff>
    </xdr:from>
    <xdr:to>
      <xdr:col>9</xdr:col>
      <xdr:colOff>439042</xdr:colOff>
      <xdr:row>41</xdr:row>
      <xdr:rowOff>189790</xdr:rowOff>
    </xdr:to>
    <xdr:pic>
      <xdr:nvPicPr>
        <xdr:cNvPr id="7" name="Image 6" descr="dgo3transnew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48100" y="7534276"/>
          <a:ext cx="620017" cy="5898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200030</xdr:colOff>
      <xdr:row>39</xdr:row>
      <xdr:rowOff>57155</xdr:rowOff>
    </xdr:from>
    <xdr:to>
      <xdr:col>5</xdr:col>
      <xdr:colOff>279116</xdr:colOff>
      <xdr:row>41</xdr:row>
      <xdr:rowOff>184092</xdr:rowOff>
    </xdr:to>
    <xdr:pic>
      <xdr:nvPicPr>
        <xdr:cNvPr id="5" name="Image 4" descr="Logo414x80px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30" y="7610480"/>
          <a:ext cx="2317461" cy="507937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38</xdr:row>
      <xdr:rowOff>133349</xdr:rowOff>
    </xdr:from>
    <xdr:to>
      <xdr:col>7</xdr:col>
      <xdr:colOff>443664</xdr:colOff>
      <xdr:row>41</xdr:row>
      <xdr:rowOff>187491</xdr:rowOff>
    </xdr:to>
    <xdr:pic>
      <xdr:nvPicPr>
        <xdr:cNvPr id="6" name="Image 5" descr="SPW_logo.jp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43200" y="7496174"/>
          <a:ext cx="834189" cy="625642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38</xdr:row>
      <xdr:rowOff>171451</xdr:rowOff>
    </xdr:from>
    <xdr:to>
      <xdr:col>9</xdr:col>
      <xdr:colOff>439042</xdr:colOff>
      <xdr:row>41</xdr:row>
      <xdr:rowOff>189790</xdr:rowOff>
    </xdr:to>
    <xdr:pic>
      <xdr:nvPicPr>
        <xdr:cNvPr id="10" name="Image 9" descr="dgo3transnew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48100" y="7534276"/>
          <a:ext cx="620017" cy="58983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200030</xdr:colOff>
      <xdr:row>39</xdr:row>
      <xdr:rowOff>57155</xdr:rowOff>
    </xdr:from>
    <xdr:to>
      <xdr:col>5</xdr:col>
      <xdr:colOff>279116</xdr:colOff>
      <xdr:row>41</xdr:row>
      <xdr:rowOff>184092</xdr:rowOff>
    </xdr:to>
    <xdr:pic>
      <xdr:nvPicPr>
        <xdr:cNvPr id="5" name="Image 4" descr="Logo414x80px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30" y="7610480"/>
          <a:ext cx="2317461" cy="507937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38</xdr:row>
      <xdr:rowOff>133349</xdr:rowOff>
    </xdr:from>
    <xdr:to>
      <xdr:col>7</xdr:col>
      <xdr:colOff>443664</xdr:colOff>
      <xdr:row>41</xdr:row>
      <xdr:rowOff>187491</xdr:rowOff>
    </xdr:to>
    <xdr:pic>
      <xdr:nvPicPr>
        <xdr:cNvPr id="6" name="Image 5" descr="SPW_logo.jp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43200" y="7496174"/>
          <a:ext cx="834189" cy="625642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38</xdr:row>
      <xdr:rowOff>171451</xdr:rowOff>
    </xdr:from>
    <xdr:to>
      <xdr:col>9</xdr:col>
      <xdr:colOff>439042</xdr:colOff>
      <xdr:row>41</xdr:row>
      <xdr:rowOff>189790</xdr:rowOff>
    </xdr:to>
    <xdr:pic>
      <xdr:nvPicPr>
        <xdr:cNvPr id="10" name="Image 9" descr="dgo3transnew.png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48100" y="7534276"/>
          <a:ext cx="620017" cy="58983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200030</xdr:colOff>
      <xdr:row>39</xdr:row>
      <xdr:rowOff>57155</xdr:rowOff>
    </xdr:from>
    <xdr:to>
      <xdr:col>5</xdr:col>
      <xdr:colOff>279116</xdr:colOff>
      <xdr:row>41</xdr:row>
      <xdr:rowOff>184092</xdr:rowOff>
    </xdr:to>
    <xdr:pic>
      <xdr:nvPicPr>
        <xdr:cNvPr id="5" name="Image 4" descr="Logo414x80px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30" y="7610480"/>
          <a:ext cx="2317461" cy="507937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38</xdr:row>
      <xdr:rowOff>133349</xdr:rowOff>
    </xdr:from>
    <xdr:to>
      <xdr:col>7</xdr:col>
      <xdr:colOff>443664</xdr:colOff>
      <xdr:row>41</xdr:row>
      <xdr:rowOff>187491</xdr:rowOff>
    </xdr:to>
    <xdr:pic>
      <xdr:nvPicPr>
        <xdr:cNvPr id="6" name="Image 5" descr="SPW_logo.jp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43200" y="7496174"/>
          <a:ext cx="834189" cy="625642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38</xdr:row>
      <xdr:rowOff>171451</xdr:rowOff>
    </xdr:from>
    <xdr:to>
      <xdr:col>9</xdr:col>
      <xdr:colOff>439042</xdr:colOff>
      <xdr:row>41</xdr:row>
      <xdr:rowOff>189790</xdr:rowOff>
    </xdr:to>
    <xdr:pic>
      <xdr:nvPicPr>
        <xdr:cNvPr id="10" name="Image 9" descr="dgo3transnew.png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48100" y="7534276"/>
          <a:ext cx="620017" cy="58983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200030</xdr:colOff>
      <xdr:row>39</xdr:row>
      <xdr:rowOff>57155</xdr:rowOff>
    </xdr:from>
    <xdr:to>
      <xdr:col>5</xdr:col>
      <xdr:colOff>279116</xdr:colOff>
      <xdr:row>41</xdr:row>
      <xdr:rowOff>184092</xdr:rowOff>
    </xdr:to>
    <xdr:pic>
      <xdr:nvPicPr>
        <xdr:cNvPr id="5" name="Image 4" descr="Logo414x80px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30" y="7610480"/>
          <a:ext cx="2317461" cy="507937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38</xdr:row>
      <xdr:rowOff>133349</xdr:rowOff>
    </xdr:from>
    <xdr:to>
      <xdr:col>7</xdr:col>
      <xdr:colOff>443664</xdr:colOff>
      <xdr:row>41</xdr:row>
      <xdr:rowOff>187491</xdr:rowOff>
    </xdr:to>
    <xdr:pic>
      <xdr:nvPicPr>
        <xdr:cNvPr id="6" name="Image 5" descr="SPW_logo.jp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43200" y="7496174"/>
          <a:ext cx="834189" cy="625642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38</xdr:row>
      <xdr:rowOff>171451</xdr:rowOff>
    </xdr:from>
    <xdr:to>
      <xdr:col>9</xdr:col>
      <xdr:colOff>439042</xdr:colOff>
      <xdr:row>41</xdr:row>
      <xdr:rowOff>189790</xdr:rowOff>
    </xdr:to>
    <xdr:pic>
      <xdr:nvPicPr>
        <xdr:cNvPr id="10" name="Image 9" descr="dgo3transnew.png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48100" y="7534276"/>
          <a:ext cx="620017" cy="58983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200030</xdr:colOff>
      <xdr:row>39</xdr:row>
      <xdr:rowOff>57155</xdr:rowOff>
    </xdr:from>
    <xdr:to>
      <xdr:col>5</xdr:col>
      <xdr:colOff>279116</xdr:colOff>
      <xdr:row>41</xdr:row>
      <xdr:rowOff>184092</xdr:rowOff>
    </xdr:to>
    <xdr:pic>
      <xdr:nvPicPr>
        <xdr:cNvPr id="5" name="Image 4" descr="Logo414x80px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30" y="7610480"/>
          <a:ext cx="2317461" cy="507937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38</xdr:row>
      <xdr:rowOff>133349</xdr:rowOff>
    </xdr:from>
    <xdr:to>
      <xdr:col>7</xdr:col>
      <xdr:colOff>443664</xdr:colOff>
      <xdr:row>41</xdr:row>
      <xdr:rowOff>187491</xdr:rowOff>
    </xdr:to>
    <xdr:pic>
      <xdr:nvPicPr>
        <xdr:cNvPr id="6" name="Image 5" descr="SPW_logo.jpg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43200" y="7496174"/>
          <a:ext cx="834189" cy="625642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38</xdr:row>
      <xdr:rowOff>171451</xdr:rowOff>
    </xdr:from>
    <xdr:to>
      <xdr:col>9</xdr:col>
      <xdr:colOff>439042</xdr:colOff>
      <xdr:row>41</xdr:row>
      <xdr:rowOff>189790</xdr:rowOff>
    </xdr:to>
    <xdr:pic>
      <xdr:nvPicPr>
        <xdr:cNvPr id="10" name="Image 9" descr="dgo3transnew.png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48100" y="7534276"/>
          <a:ext cx="620017" cy="58983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200030</xdr:colOff>
      <xdr:row>39</xdr:row>
      <xdr:rowOff>57155</xdr:rowOff>
    </xdr:from>
    <xdr:to>
      <xdr:col>5</xdr:col>
      <xdr:colOff>279116</xdr:colOff>
      <xdr:row>41</xdr:row>
      <xdr:rowOff>184092</xdr:rowOff>
    </xdr:to>
    <xdr:pic>
      <xdr:nvPicPr>
        <xdr:cNvPr id="5" name="Image 4" descr="Logo414x80px.png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30" y="7610480"/>
          <a:ext cx="2317461" cy="507937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38</xdr:row>
      <xdr:rowOff>133349</xdr:rowOff>
    </xdr:from>
    <xdr:to>
      <xdr:col>7</xdr:col>
      <xdr:colOff>443664</xdr:colOff>
      <xdr:row>41</xdr:row>
      <xdr:rowOff>187491</xdr:rowOff>
    </xdr:to>
    <xdr:pic>
      <xdr:nvPicPr>
        <xdr:cNvPr id="6" name="Image 5" descr="SPW_logo.jpg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43200" y="7496174"/>
          <a:ext cx="834189" cy="625642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38</xdr:row>
      <xdr:rowOff>171451</xdr:rowOff>
    </xdr:from>
    <xdr:to>
      <xdr:col>9</xdr:col>
      <xdr:colOff>439042</xdr:colOff>
      <xdr:row>41</xdr:row>
      <xdr:rowOff>189790</xdr:rowOff>
    </xdr:to>
    <xdr:pic>
      <xdr:nvPicPr>
        <xdr:cNvPr id="10" name="Image 9" descr="dgo3transnew.png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48100" y="7534276"/>
          <a:ext cx="620017" cy="58983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200030</xdr:colOff>
      <xdr:row>39</xdr:row>
      <xdr:rowOff>57155</xdr:rowOff>
    </xdr:from>
    <xdr:to>
      <xdr:col>5</xdr:col>
      <xdr:colOff>279116</xdr:colOff>
      <xdr:row>41</xdr:row>
      <xdr:rowOff>184092</xdr:rowOff>
    </xdr:to>
    <xdr:pic>
      <xdr:nvPicPr>
        <xdr:cNvPr id="5" name="Image 4" descr="Logo414x80px.png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30" y="7610480"/>
          <a:ext cx="2317461" cy="507937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38</xdr:row>
      <xdr:rowOff>133349</xdr:rowOff>
    </xdr:from>
    <xdr:to>
      <xdr:col>7</xdr:col>
      <xdr:colOff>443664</xdr:colOff>
      <xdr:row>41</xdr:row>
      <xdr:rowOff>187491</xdr:rowOff>
    </xdr:to>
    <xdr:pic>
      <xdr:nvPicPr>
        <xdr:cNvPr id="6" name="Image 5" descr="SPW_logo.jpg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43200" y="7496174"/>
          <a:ext cx="834189" cy="625642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38</xdr:row>
      <xdr:rowOff>171451</xdr:rowOff>
    </xdr:from>
    <xdr:to>
      <xdr:col>9</xdr:col>
      <xdr:colOff>439042</xdr:colOff>
      <xdr:row>41</xdr:row>
      <xdr:rowOff>189790</xdr:rowOff>
    </xdr:to>
    <xdr:pic>
      <xdr:nvPicPr>
        <xdr:cNvPr id="10" name="Image 9" descr="dgo3transnew.png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48100" y="7534276"/>
          <a:ext cx="620017" cy="58983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200030</xdr:colOff>
      <xdr:row>39</xdr:row>
      <xdr:rowOff>57155</xdr:rowOff>
    </xdr:from>
    <xdr:to>
      <xdr:col>5</xdr:col>
      <xdr:colOff>279116</xdr:colOff>
      <xdr:row>41</xdr:row>
      <xdr:rowOff>184092</xdr:rowOff>
    </xdr:to>
    <xdr:pic>
      <xdr:nvPicPr>
        <xdr:cNvPr id="5" name="Image 4" descr="Logo414x80px.pn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30" y="7610480"/>
          <a:ext cx="2317461" cy="507937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38</xdr:row>
      <xdr:rowOff>133349</xdr:rowOff>
    </xdr:from>
    <xdr:to>
      <xdr:col>7</xdr:col>
      <xdr:colOff>443664</xdr:colOff>
      <xdr:row>41</xdr:row>
      <xdr:rowOff>187491</xdr:rowOff>
    </xdr:to>
    <xdr:pic>
      <xdr:nvPicPr>
        <xdr:cNvPr id="6" name="Image 5" descr="SPW_logo.jpg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43200" y="7496174"/>
          <a:ext cx="834189" cy="625642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38</xdr:row>
      <xdr:rowOff>171451</xdr:rowOff>
    </xdr:from>
    <xdr:to>
      <xdr:col>9</xdr:col>
      <xdr:colOff>439042</xdr:colOff>
      <xdr:row>41</xdr:row>
      <xdr:rowOff>189790</xdr:rowOff>
    </xdr:to>
    <xdr:pic>
      <xdr:nvPicPr>
        <xdr:cNvPr id="10" name="Image 9" descr="dgo3transnew.png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48100" y="7534276"/>
          <a:ext cx="620017" cy="5898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77"/>
  <sheetViews>
    <sheetView topLeftCell="A28" workbookViewId="0">
      <selection activeCell="A11" sqref="A11"/>
    </sheetView>
  </sheetViews>
  <sheetFormatPr defaultColWidth="11.42578125" defaultRowHeight="15" x14ac:dyDescent="0.25"/>
  <cols>
    <col min="1" max="1" width="12.7109375" style="2" customWidth="1"/>
    <col min="2" max="4" width="7.7109375" style="1" customWidth="1"/>
    <col min="5" max="12" width="7.7109375" style="2" customWidth="1"/>
    <col min="13" max="13" width="8.7109375" style="2" customWidth="1"/>
    <col min="14" max="14" width="7.7109375" style="2" customWidth="1"/>
    <col min="15" max="17" width="8.28515625" style="2" customWidth="1"/>
    <col min="18" max="16384" width="11.42578125" style="2"/>
  </cols>
  <sheetData>
    <row r="2" spans="2:17" ht="23.25" x14ac:dyDescent="0.35">
      <c r="D2" s="83"/>
      <c r="E2"/>
      <c r="F2" s="132" t="s">
        <v>86</v>
      </c>
      <c r="G2" s="132"/>
      <c r="H2" s="132"/>
      <c r="I2" s="132"/>
      <c r="J2" s="132"/>
      <c r="K2" s="132"/>
      <c r="L2" s="132"/>
      <c r="M2" s="132"/>
      <c r="N2" s="132"/>
      <c r="O2"/>
    </row>
    <row r="3" spans="2:17" ht="18.75" x14ac:dyDescent="0.3">
      <c r="D3" s="84"/>
      <c r="F3" s="133" t="s">
        <v>87</v>
      </c>
      <c r="G3" s="133"/>
      <c r="H3" s="133"/>
      <c r="I3" s="133"/>
      <c r="J3" s="133"/>
      <c r="K3" s="133"/>
      <c r="L3" s="133"/>
      <c r="M3" s="133"/>
      <c r="N3" s="133"/>
    </row>
    <row r="5" spans="2:17" ht="29.25" customHeight="1" x14ac:dyDescent="0.4">
      <c r="B5" s="134" t="s">
        <v>37</v>
      </c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</row>
    <row r="6" spans="2:17" ht="15" customHeight="1" x14ac:dyDescent="0.3">
      <c r="B6" s="21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2:17" ht="29.25" customHeight="1" x14ac:dyDescent="0.35">
      <c r="B7" s="100" t="s">
        <v>126</v>
      </c>
      <c r="C7"/>
      <c r="D7"/>
      <c r="E7"/>
      <c r="F7"/>
      <c r="G7"/>
      <c r="H7"/>
      <c r="I7"/>
      <c r="J7"/>
      <c r="K7"/>
      <c r="L7"/>
      <c r="M7"/>
    </row>
    <row r="8" spans="2:17" ht="15" customHeight="1" x14ac:dyDescent="0.3">
      <c r="B8" s="21"/>
      <c r="C8"/>
      <c r="D8"/>
      <c r="E8"/>
      <c r="F8"/>
      <c r="G8"/>
      <c r="H8"/>
      <c r="I8"/>
      <c r="J8"/>
      <c r="K8"/>
      <c r="L8"/>
      <c r="M8"/>
    </row>
    <row r="9" spans="2:17" ht="15" customHeight="1" x14ac:dyDescent="0.25">
      <c r="B9" s="136" t="s">
        <v>1</v>
      </c>
      <c r="C9" s="137" t="s">
        <v>38</v>
      </c>
      <c r="D9" s="137"/>
      <c r="E9" s="137"/>
      <c r="F9" s="137"/>
      <c r="G9" s="137"/>
      <c r="H9" s="7"/>
      <c r="I9" s="7"/>
      <c r="J9" s="7"/>
      <c r="K9" s="7"/>
      <c r="L9" s="7"/>
      <c r="M9" s="7"/>
    </row>
    <row r="10" spans="2:17" ht="15" customHeight="1" x14ac:dyDescent="0.25">
      <c r="B10" s="136"/>
      <c r="C10" s="22" t="s">
        <v>39</v>
      </c>
      <c r="D10" s="22" t="s">
        <v>40</v>
      </c>
      <c r="E10" s="22" t="s">
        <v>41</v>
      </c>
      <c r="F10" s="22" t="s">
        <v>42</v>
      </c>
      <c r="G10" s="22">
        <v>0</v>
      </c>
      <c r="H10" s="7"/>
      <c r="I10" s="7"/>
      <c r="J10" s="7"/>
      <c r="K10" s="7"/>
      <c r="L10" s="7"/>
      <c r="M10" s="7"/>
    </row>
    <row r="11" spans="2:17" ht="15" customHeight="1" x14ac:dyDescent="0.25">
      <c r="B11" s="23">
        <v>20</v>
      </c>
      <c r="C11" s="23">
        <v>11.7</v>
      </c>
      <c r="D11" s="23">
        <v>13.8</v>
      </c>
      <c r="E11" s="23">
        <v>15.9</v>
      </c>
      <c r="F11" s="23">
        <v>17.899999999999999</v>
      </c>
      <c r="G11" s="23">
        <v>20</v>
      </c>
      <c r="H11" s="7"/>
      <c r="I11" s="7"/>
      <c r="J11" s="7"/>
      <c r="K11" s="7"/>
      <c r="L11" s="7"/>
      <c r="M11" s="7"/>
    </row>
    <row r="12" spans="2:17" ht="15" customHeight="1" x14ac:dyDescent="0.25">
      <c r="B12" s="24">
        <v>25</v>
      </c>
      <c r="C12" s="24">
        <v>14.7</v>
      </c>
      <c r="D12" s="24">
        <v>17.2</v>
      </c>
      <c r="E12" s="24">
        <v>19.7</v>
      </c>
      <c r="F12" s="24">
        <v>22.2</v>
      </c>
      <c r="G12" s="24">
        <v>24.7</v>
      </c>
      <c r="H12" s="7"/>
      <c r="I12" s="7"/>
      <c r="J12" s="7"/>
      <c r="K12" s="7"/>
      <c r="L12" s="7"/>
      <c r="M12" s="7"/>
    </row>
    <row r="13" spans="2:17" ht="15" customHeight="1" x14ac:dyDescent="0.25">
      <c r="B13" s="25">
        <v>30</v>
      </c>
      <c r="C13" s="25">
        <v>17.600000000000001</v>
      </c>
      <c r="D13" s="25">
        <v>20.399999999999999</v>
      </c>
      <c r="E13" s="25">
        <v>23.3</v>
      </c>
      <c r="F13" s="25">
        <v>26.2</v>
      </c>
      <c r="G13" s="25">
        <v>29.1</v>
      </c>
      <c r="H13" s="7"/>
      <c r="I13" s="7"/>
      <c r="J13" s="7"/>
      <c r="K13" s="7"/>
      <c r="L13" s="7"/>
      <c r="M13" s="7"/>
    </row>
    <row r="14" spans="2:17" ht="15" customHeight="1" x14ac:dyDescent="0.25">
      <c r="B14" s="24">
        <v>35</v>
      </c>
      <c r="C14" s="24">
        <v>20.3</v>
      </c>
      <c r="D14" s="24">
        <v>23.6</v>
      </c>
      <c r="E14" s="24">
        <v>26.8</v>
      </c>
      <c r="F14" s="24">
        <v>30</v>
      </c>
      <c r="G14" s="24">
        <v>33.200000000000003</v>
      </c>
      <c r="H14" s="7"/>
      <c r="I14" s="7"/>
      <c r="J14" s="7"/>
      <c r="K14" s="7"/>
      <c r="L14" s="7"/>
      <c r="M14" s="7"/>
    </row>
    <row r="15" spans="2:17" ht="15" customHeight="1" x14ac:dyDescent="0.25">
      <c r="B15" s="25">
        <v>40</v>
      </c>
      <c r="C15" s="25">
        <v>23</v>
      </c>
      <c r="D15" s="25">
        <v>26.5</v>
      </c>
      <c r="E15" s="25">
        <v>30</v>
      </c>
      <c r="F15" s="25">
        <v>33.6</v>
      </c>
      <c r="G15" s="25">
        <v>37.1</v>
      </c>
      <c r="H15" s="7"/>
      <c r="I15" s="7"/>
      <c r="J15" s="7"/>
      <c r="K15" s="7"/>
      <c r="L15" s="7"/>
      <c r="M15" s="7"/>
    </row>
    <row r="16" spans="2:17" ht="15" customHeight="1" x14ac:dyDescent="0.25">
      <c r="B16" s="24">
        <v>45</v>
      </c>
      <c r="C16" s="24">
        <v>25.6</v>
      </c>
      <c r="D16" s="24">
        <v>29.3</v>
      </c>
      <c r="E16" s="24">
        <v>33.1</v>
      </c>
      <c r="F16" s="24">
        <v>36.9</v>
      </c>
      <c r="G16" s="24">
        <v>40.700000000000003</v>
      </c>
      <c r="H16" s="7"/>
      <c r="I16" s="7"/>
      <c r="J16" s="7"/>
      <c r="K16" s="7"/>
      <c r="L16" s="7"/>
      <c r="M16" s="7"/>
    </row>
    <row r="17" spans="2:13" ht="15" customHeight="1" x14ac:dyDescent="0.25">
      <c r="B17" s="99">
        <v>50</v>
      </c>
      <c r="C17" s="99">
        <v>28</v>
      </c>
      <c r="D17" s="99">
        <v>32</v>
      </c>
      <c r="E17" s="99">
        <v>36</v>
      </c>
      <c r="F17" s="99">
        <v>40</v>
      </c>
      <c r="G17" s="99">
        <v>44</v>
      </c>
      <c r="H17" s="7"/>
      <c r="I17" s="7"/>
      <c r="J17" s="7"/>
      <c r="K17" s="7"/>
      <c r="L17" s="7"/>
      <c r="M17" s="7"/>
    </row>
    <row r="18" spans="2:13" ht="15" customHeight="1" x14ac:dyDescent="0.25">
      <c r="B18" s="24">
        <v>55</v>
      </c>
      <c r="C18" s="24">
        <v>30.3</v>
      </c>
      <c r="D18" s="24">
        <v>34.5</v>
      </c>
      <c r="E18" s="24">
        <v>38.700000000000003</v>
      </c>
      <c r="F18" s="24">
        <v>42.9</v>
      </c>
      <c r="G18" s="24">
        <v>47.1</v>
      </c>
      <c r="H18" s="7"/>
      <c r="I18" s="7"/>
      <c r="J18" s="7"/>
      <c r="K18" s="7"/>
      <c r="L18" s="7"/>
      <c r="M18" s="7"/>
    </row>
    <row r="19" spans="2:13" ht="15" customHeight="1" x14ac:dyDescent="0.25">
      <c r="B19" s="25">
        <v>60</v>
      </c>
      <c r="C19" s="25">
        <v>32.5</v>
      </c>
      <c r="D19" s="25">
        <v>36.9</v>
      </c>
      <c r="E19" s="25">
        <v>41.2</v>
      </c>
      <c r="F19" s="25">
        <v>45.6</v>
      </c>
      <c r="G19" s="25">
        <v>50</v>
      </c>
      <c r="H19" s="7"/>
      <c r="I19" s="7"/>
      <c r="J19" s="7"/>
      <c r="K19" s="7"/>
      <c r="L19" s="7"/>
      <c r="M19" s="7"/>
    </row>
    <row r="20" spans="2:13" ht="15" customHeight="1" x14ac:dyDescent="0.25">
      <c r="B20" s="24">
        <v>65</v>
      </c>
      <c r="C20" s="24">
        <v>34.6</v>
      </c>
      <c r="D20" s="24">
        <v>39.1</v>
      </c>
      <c r="E20" s="24">
        <v>43.6</v>
      </c>
      <c r="F20" s="24">
        <v>48.1</v>
      </c>
      <c r="G20" s="24" t="s">
        <v>27</v>
      </c>
      <c r="H20" s="7"/>
      <c r="I20" s="7"/>
      <c r="J20" s="7"/>
      <c r="K20" s="7"/>
      <c r="L20" s="7"/>
      <c r="M20" s="7"/>
    </row>
    <row r="21" spans="2:13" ht="15" customHeight="1" x14ac:dyDescent="0.25">
      <c r="B21" s="25">
        <v>70</v>
      </c>
      <c r="C21" s="25">
        <v>36.6</v>
      </c>
      <c r="D21" s="25">
        <v>41.3</v>
      </c>
      <c r="E21" s="25">
        <v>45.9</v>
      </c>
      <c r="F21" s="25">
        <v>50.5</v>
      </c>
      <c r="G21" s="25" t="s">
        <v>27</v>
      </c>
      <c r="H21" s="7"/>
      <c r="I21" s="7"/>
      <c r="J21" s="7"/>
      <c r="K21" s="7"/>
      <c r="L21" s="7"/>
      <c r="M21" s="7"/>
    </row>
    <row r="22" spans="2:13" ht="15" customHeight="1" x14ac:dyDescent="0.25">
      <c r="B22" s="24">
        <v>75</v>
      </c>
      <c r="C22" s="24">
        <v>38.5</v>
      </c>
      <c r="D22" s="24">
        <v>43.3</v>
      </c>
      <c r="E22" s="24">
        <v>48</v>
      </c>
      <c r="F22" s="24" t="s">
        <v>27</v>
      </c>
      <c r="G22" s="24" t="s">
        <v>27</v>
      </c>
      <c r="H22" s="7"/>
      <c r="I22" s="7"/>
      <c r="J22" s="7"/>
      <c r="K22" s="7"/>
      <c r="L22" s="7"/>
      <c r="M22" s="7"/>
    </row>
    <row r="23" spans="2:13" ht="15" customHeight="1" x14ac:dyDescent="0.25">
      <c r="B23" s="25">
        <v>80</v>
      </c>
      <c r="C23" s="25">
        <v>40.4</v>
      </c>
      <c r="D23" s="25">
        <v>45.2</v>
      </c>
      <c r="E23" s="25">
        <v>50</v>
      </c>
      <c r="F23" s="25" t="s">
        <v>27</v>
      </c>
      <c r="G23" s="25" t="s">
        <v>27</v>
      </c>
      <c r="H23" s="7"/>
      <c r="I23" s="7"/>
      <c r="J23" s="7"/>
      <c r="K23" s="7"/>
      <c r="L23" s="7"/>
      <c r="M23" s="7"/>
    </row>
    <row r="24" spans="2:13" ht="15" customHeight="1" x14ac:dyDescent="0.25">
      <c r="B24" s="24">
        <v>85</v>
      </c>
      <c r="C24" s="24">
        <v>42.1</v>
      </c>
      <c r="D24" s="24">
        <v>47</v>
      </c>
      <c r="E24" s="24" t="s">
        <v>27</v>
      </c>
      <c r="F24" s="24" t="s">
        <v>27</v>
      </c>
      <c r="G24" s="24" t="s">
        <v>27</v>
      </c>
      <c r="H24" s="7"/>
      <c r="I24" s="7"/>
      <c r="J24" s="7"/>
      <c r="K24" s="7"/>
      <c r="L24" s="7"/>
      <c r="M24" s="7"/>
    </row>
    <row r="25" spans="2:13" ht="15" customHeight="1" x14ac:dyDescent="0.25">
      <c r="B25" s="25">
        <v>90</v>
      </c>
      <c r="C25" s="25">
        <v>43.8</v>
      </c>
      <c r="D25" s="25">
        <v>48.8</v>
      </c>
      <c r="E25" s="25" t="s">
        <v>27</v>
      </c>
      <c r="F25" s="25" t="s">
        <v>27</v>
      </c>
      <c r="G25" s="25" t="s">
        <v>27</v>
      </c>
      <c r="H25" s="7"/>
      <c r="I25" s="7"/>
      <c r="J25" s="7"/>
      <c r="K25" s="7"/>
      <c r="L25" s="7"/>
      <c r="M25" s="7"/>
    </row>
    <row r="26" spans="2:13" ht="15" customHeight="1" x14ac:dyDescent="0.25">
      <c r="B26" s="24">
        <v>95</v>
      </c>
      <c r="C26" s="24">
        <v>45.5</v>
      </c>
      <c r="D26" s="24">
        <v>50.5</v>
      </c>
      <c r="E26" s="24" t="s">
        <v>27</v>
      </c>
      <c r="F26" s="24" t="s">
        <v>27</v>
      </c>
      <c r="G26" s="24" t="s">
        <v>27</v>
      </c>
      <c r="H26" s="7"/>
      <c r="I26" s="7"/>
      <c r="J26" s="7"/>
      <c r="K26" s="7"/>
      <c r="L26" s="7"/>
      <c r="M26" s="7"/>
    </row>
    <row r="27" spans="2:13" ht="15" customHeight="1" x14ac:dyDescent="0.25">
      <c r="B27" s="26">
        <v>100</v>
      </c>
      <c r="C27" s="26">
        <v>47.1</v>
      </c>
      <c r="D27" s="26" t="s">
        <v>27</v>
      </c>
      <c r="E27" s="26" t="s">
        <v>27</v>
      </c>
      <c r="F27" s="26" t="s">
        <v>27</v>
      </c>
      <c r="G27" s="26" t="s">
        <v>27</v>
      </c>
      <c r="H27"/>
      <c r="I27"/>
      <c r="J27"/>
      <c r="K27"/>
      <c r="L27"/>
      <c r="M27"/>
    </row>
    <row r="28" spans="2:13" ht="15" customHeight="1" x14ac:dyDescent="0.25">
      <c r="B28" s="27"/>
      <c r="C28" s="27"/>
      <c r="D28" s="27"/>
      <c r="E28" s="27"/>
      <c r="F28" s="27"/>
      <c r="G28" s="27"/>
      <c r="H28"/>
      <c r="I28"/>
      <c r="J28"/>
      <c r="K28"/>
      <c r="L28"/>
      <c r="M28"/>
    </row>
    <row r="29" spans="2:13" ht="29.25" customHeight="1" x14ac:dyDescent="0.35">
      <c r="B29" s="102" t="s">
        <v>125</v>
      </c>
      <c r="C29"/>
      <c r="D29"/>
      <c r="E29"/>
      <c r="F29"/>
      <c r="G29"/>
      <c r="H29"/>
      <c r="I29"/>
      <c r="J29"/>
      <c r="K29"/>
      <c r="L29"/>
      <c r="M29"/>
    </row>
    <row r="30" spans="2:13" ht="15" customHeight="1" x14ac:dyDescent="0.3">
      <c r="B30" s="21"/>
      <c r="C30"/>
      <c r="D30"/>
      <c r="E30"/>
      <c r="F30"/>
      <c r="G30"/>
      <c r="H30"/>
      <c r="I30"/>
      <c r="J30"/>
      <c r="K30"/>
      <c r="L30"/>
      <c r="M30"/>
    </row>
    <row r="31" spans="2:13" ht="29.25" customHeight="1" x14ac:dyDescent="0.35">
      <c r="B31" s="21"/>
      <c r="C31" s="101" t="s">
        <v>124</v>
      </c>
      <c r="D31"/>
      <c r="E31"/>
      <c r="F31"/>
      <c r="G31"/>
      <c r="H31"/>
      <c r="I31"/>
      <c r="J31"/>
      <c r="K31"/>
      <c r="L31"/>
      <c r="M31"/>
    </row>
    <row r="33" spans="2:17" ht="15.75" x14ac:dyDescent="0.25">
      <c r="B33" s="138" t="s">
        <v>44</v>
      </c>
      <c r="C33" s="139"/>
      <c r="D33" s="138" t="s">
        <v>45</v>
      </c>
      <c r="E33" s="139"/>
      <c r="F33" s="138" t="s">
        <v>36</v>
      </c>
      <c r="G33" s="140"/>
      <c r="H33" s="140"/>
      <c r="I33" s="140"/>
      <c r="J33" s="140"/>
      <c r="K33" s="138" t="s">
        <v>77</v>
      </c>
      <c r="L33" s="138"/>
      <c r="M33" s="138"/>
      <c r="N33" s="138"/>
      <c r="O33" s="138" t="s">
        <v>18</v>
      </c>
      <c r="P33" s="138"/>
      <c r="Q33" s="138"/>
    </row>
    <row r="34" spans="2:17" s="1" customFormat="1" ht="31.5" x14ac:dyDescent="0.25">
      <c r="B34" s="28" t="s">
        <v>46</v>
      </c>
      <c r="C34" s="29" t="s">
        <v>47</v>
      </c>
      <c r="D34" s="28" t="s">
        <v>1</v>
      </c>
      <c r="E34" s="29" t="s">
        <v>63</v>
      </c>
      <c r="F34" s="28" t="s">
        <v>43</v>
      </c>
      <c r="G34" s="30" t="s">
        <v>2</v>
      </c>
      <c r="H34" s="30" t="s">
        <v>5</v>
      </c>
      <c r="I34" s="30" t="s">
        <v>4</v>
      </c>
      <c r="J34" s="29" t="s">
        <v>7</v>
      </c>
      <c r="K34" s="28" t="s">
        <v>17</v>
      </c>
      <c r="L34" s="30" t="s">
        <v>12</v>
      </c>
      <c r="M34" s="30" t="s">
        <v>11</v>
      </c>
      <c r="N34" s="29" t="s">
        <v>14</v>
      </c>
      <c r="O34" s="28" t="s">
        <v>48</v>
      </c>
      <c r="P34" s="30" t="s">
        <v>49</v>
      </c>
      <c r="Q34" s="29" t="s">
        <v>50</v>
      </c>
    </row>
    <row r="35" spans="2:17" s="31" customFormat="1" ht="12" customHeight="1" x14ac:dyDescent="0.25">
      <c r="B35" s="32" t="s">
        <v>60</v>
      </c>
      <c r="C35" s="33" t="s">
        <v>58</v>
      </c>
      <c r="D35" s="32" t="s">
        <v>60</v>
      </c>
      <c r="E35" s="33" t="s">
        <v>62</v>
      </c>
      <c r="F35" s="32" t="s">
        <v>60</v>
      </c>
      <c r="G35" s="34" t="s">
        <v>58</v>
      </c>
      <c r="H35" s="34" t="s">
        <v>54</v>
      </c>
      <c r="I35" s="34" t="s">
        <v>59</v>
      </c>
      <c r="J35" s="33" t="s">
        <v>57</v>
      </c>
      <c r="K35" s="32" t="s">
        <v>61</v>
      </c>
      <c r="L35" s="34" t="s">
        <v>57</v>
      </c>
      <c r="M35" s="34" t="s">
        <v>56</v>
      </c>
      <c r="N35" s="33"/>
      <c r="O35" s="32" t="s">
        <v>64</v>
      </c>
      <c r="P35" s="34" t="s">
        <v>64</v>
      </c>
      <c r="Q35" s="33" t="s">
        <v>64</v>
      </c>
    </row>
    <row r="36" spans="2:17" ht="15.75" x14ac:dyDescent="0.25">
      <c r="B36" s="35">
        <v>0</v>
      </c>
      <c r="C36" s="36">
        <v>44</v>
      </c>
      <c r="D36" s="37">
        <f>Do0A!A$9</f>
        <v>13</v>
      </c>
      <c r="E36" s="40">
        <f>Do0A!V$9</f>
        <v>32.643103432251813</v>
      </c>
      <c r="F36" s="38">
        <f>Do0A!A16</f>
        <v>55</v>
      </c>
      <c r="G36" s="39">
        <f>Do0A!B16</f>
        <v>46.083975177764799</v>
      </c>
      <c r="H36" s="39">
        <f>Do0A!D16</f>
        <v>206.44805424021419</v>
      </c>
      <c r="I36" s="39">
        <f>Do0A!C16</f>
        <v>141.38999999999999</v>
      </c>
      <c r="J36" s="40">
        <f>Do0A!F16</f>
        <v>767.61177938604988</v>
      </c>
      <c r="K36" s="41">
        <f>H36/F36</f>
        <v>3.7536009861857127</v>
      </c>
      <c r="L36" s="42">
        <f>Do0A!T16</f>
        <v>1427.0133116324594</v>
      </c>
      <c r="M36" s="43">
        <f>Do0A!S16</f>
        <v>25.945696575135624</v>
      </c>
      <c r="N36" s="40">
        <f>Do0A!U13</f>
        <v>77.079432882588321</v>
      </c>
      <c r="O36" s="44">
        <f>Q36-P36</f>
        <v>15303.771021604189</v>
      </c>
      <c r="P36" s="45">
        <f>Do0A!L$33</f>
        <v>21721.347441049576</v>
      </c>
      <c r="Q36" s="46">
        <f>Do0A!W$33</f>
        <v>37025.118462653765</v>
      </c>
    </row>
    <row r="37" spans="2:17" ht="15.75" x14ac:dyDescent="0.25">
      <c r="B37" s="47">
        <v>1</v>
      </c>
      <c r="C37" s="48">
        <v>40</v>
      </c>
      <c r="D37" s="49">
        <f>Do1A!A$9</f>
        <v>15</v>
      </c>
      <c r="E37" s="52">
        <f>Do1A!V$9</f>
        <v>32.64323215292972</v>
      </c>
      <c r="F37" s="50">
        <f>Do1A!A16</f>
        <v>57</v>
      </c>
      <c r="G37" s="51">
        <f>Do1A!B16</f>
        <v>43.0895602226257</v>
      </c>
      <c r="H37" s="51">
        <f>Do1A!D16</f>
        <v>191.88745869968167</v>
      </c>
      <c r="I37" s="51">
        <f>Do1A!C16</f>
        <v>158.85</v>
      </c>
      <c r="J37" s="52">
        <f>Do1A!F16</f>
        <v>708.35018469702663</v>
      </c>
      <c r="K37" s="53">
        <f t="shared" ref="K37:K40" si="0">H37/F37</f>
        <v>3.3664466438540646</v>
      </c>
      <c r="L37" s="54">
        <f>Do1A!T16</f>
        <v>1300.4420248049705</v>
      </c>
      <c r="M37" s="55">
        <f>Do1A!S16</f>
        <v>22.814772364999484</v>
      </c>
      <c r="N37" s="52">
        <f>Do1A!U14</f>
        <v>74.383411616052328</v>
      </c>
      <c r="O37" s="56">
        <f t="shared" ref="O37:O40" si="1">Q37-P37</f>
        <v>12525.875680478563</v>
      </c>
      <c r="P37" s="57">
        <f>Do1A!L$33</f>
        <v>18917.568660232839</v>
      </c>
      <c r="Q37" s="58">
        <f>Do1A!W$33</f>
        <v>31443.444340711401</v>
      </c>
    </row>
    <row r="38" spans="2:17" ht="15.75" x14ac:dyDescent="0.25">
      <c r="B38" s="35">
        <v>2</v>
      </c>
      <c r="C38" s="36">
        <v>36</v>
      </c>
      <c r="D38" s="37">
        <f>Do2A!A$9</f>
        <v>17</v>
      </c>
      <c r="E38" s="40">
        <f>Do2A!V$9</f>
        <v>32.646457132229862</v>
      </c>
      <c r="F38" s="38">
        <f>Do2A!A17</f>
        <v>65</v>
      </c>
      <c r="G38" s="39">
        <f>Do2A!B17</f>
        <v>42.7109277954101</v>
      </c>
      <c r="H38" s="39">
        <f>Do2A!D17</f>
        <v>196.28921956807747</v>
      </c>
      <c r="I38" s="39">
        <f>Do2A!C17</f>
        <v>150.21</v>
      </c>
      <c r="J38" s="40">
        <f>Do2A!F17</f>
        <v>697.92314205265473</v>
      </c>
      <c r="K38" s="41">
        <f t="shared" si="0"/>
        <v>3.019834147201192</v>
      </c>
      <c r="L38" s="42">
        <f>Do2A!T17</f>
        <v>1307.2021412803729</v>
      </c>
      <c r="M38" s="43">
        <f>Do2A!S17</f>
        <v>20.110802173544197</v>
      </c>
      <c r="N38" s="40">
        <f>Do2A!U15</f>
        <v>71.891651733143803</v>
      </c>
      <c r="O38" s="44">
        <f t="shared" si="1"/>
        <v>11824.317940942688</v>
      </c>
      <c r="P38" s="45">
        <f>Do2A!L$34</f>
        <v>16025.092342263913</v>
      </c>
      <c r="Q38" s="46">
        <f>Do2A!W$34</f>
        <v>27849.410283206602</v>
      </c>
    </row>
    <row r="39" spans="2:17" ht="15.75" x14ac:dyDescent="0.25">
      <c r="B39" s="47">
        <v>3</v>
      </c>
      <c r="C39" s="48">
        <v>32</v>
      </c>
      <c r="D39" s="49">
        <f>Do3A!A$9</f>
        <v>19</v>
      </c>
      <c r="E39" s="52">
        <f>Do3A!V$9</f>
        <v>32.646327067447849</v>
      </c>
      <c r="F39" s="50">
        <f>Do3A!A18</f>
        <v>73</v>
      </c>
      <c r="G39" s="51">
        <f>Do3A!B18</f>
        <v>41.618616699218698</v>
      </c>
      <c r="H39" s="51">
        <f>Do3A!D18</f>
        <v>196.47048950362787</v>
      </c>
      <c r="I39" s="51">
        <f>Do3A!C18</f>
        <v>147.96</v>
      </c>
      <c r="J39" s="52">
        <f>Do3A!F18</f>
        <v>676.99329332639581</v>
      </c>
      <c r="K39" s="53">
        <f t="shared" si="0"/>
        <v>2.6913765685428475</v>
      </c>
      <c r="L39" s="54">
        <f>Do3A!T18</f>
        <v>1277.831753692999</v>
      </c>
      <c r="M39" s="55">
        <f>Do3A!S18</f>
        <v>17.504544571136972</v>
      </c>
      <c r="N39" s="52">
        <f>Do3A!U16</f>
        <v>69.61903934187319</v>
      </c>
      <c r="O39" s="56">
        <f t="shared" si="1"/>
        <v>10495.315853999306</v>
      </c>
      <c r="P39" s="57">
        <f>Do3A!L$35</f>
        <v>13287.758070209511</v>
      </c>
      <c r="Q39" s="58">
        <f>Do3A!W$35</f>
        <v>23783.073924208817</v>
      </c>
    </row>
    <row r="40" spans="2:17" ht="15.75" x14ac:dyDescent="0.25">
      <c r="B40" s="59">
        <v>4</v>
      </c>
      <c r="C40" s="60">
        <v>28</v>
      </c>
      <c r="D40" s="61">
        <f>Do4A!A$9</f>
        <v>23</v>
      </c>
      <c r="E40" s="64">
        <f>Do4A!V$9</f>
        <v>32.645715720649925</v>
      </c>
      <c r="F40" s="62">
        <f>Do4A!A19</f>
        <v>83</v>
      </c>
      <c r="G40" s="63">
        <f>Do4A!B19</f>
        <v>40.676787826538003</v>
      </c>
      <c r="H40" s="63">
        <f>Do4A!D19</f>
        <v>193.66088586777047</v>
      </c>
      <c r="I40" s="63">
        <f>Do4A!C19</f>
        <v>149.49</v>
      </c>
      <c r="J40" s="64">
        <f>Do4A!F19</f>
        <v>653.9480939287422</v>
      </c>
      <c r="K40" s="65">
        <f t="shared" si="0"/>
        <v>2.3332636851538613</v>
      </c>
      <c r="L40" s="66">
        <f>Do4A!T19</f>
        <v>1245.893602581556</v>
      </c>
      <c r="M40" s="67">
        <f>Do4A!S19</f>
        <v>15.010766296163325</v>
      </c>
      <c r="N40" s="64">
        <f>Do4A!U19</f>
        <v>65.219646087401756</v>
      </c>
      <c r="O40" s="68">
        <f t="shared" si="1"/>
        <v>8906.7235188720169</v>
      </c>
      <c r="P40" s="69">
        <f>Do4A!L$36</f>
        <v>10476.568046774088</v>
      </c>
      <c r="Q40" s="70">
        <f>Do4A!W$36</f>
        <v>19383.291565646105</v>
      </c>
    </row>
    <row r="41" spans="2:17" x14ac:dyDescent="0.25">
      <c r="D41" s="2"/>
      <c r="F41" s="3"/>
      <c r="G41" s="3"/>
      <c r="H41" s="3"/>
      <c r="I41" s="3"/>
      <c r="J41" s="3"/>
      <c r="K41" s="4"/>
      <c r="L41" s="3"/>
      <c r="M41" s="4"/>
      <c r="N41" s="3"/>
      <c r="O41" s="3"/>
      <c r="P41" s="3"/>
      <c r="Q41" s="3"/>
    </row>
    <row r="42" spans="2:17" ht="29.25" customHeight="1" x14ac:dyDescent="0.35">
      <c r="B42" s="21"/>
      <c r="C42" s="101" t="s">
        <v>123</v>
      </c>
      <c r="D42"/>
      <c r="E42"/>
      <c r="F42"/>
      <c r="G42"/>
      <c r="H42"/>
      <c r="I42"/>
      <c r="J42"/>
      <c r="K42"/>
      <c r="L42"/>
      <c r="M42"/>
    </row>
    <row r="43" spans="2:17" x14ac:dyDescent="0.25">
      <c r="D43" s="2"/>
      <c r="F43" s="3"/>
      <c r="G43" s="3"/>
      <c r="H43" s="3"/>
      <c r="I43" s="3"/>
      <c r="J43" s="3"/>
      <c r="K43" s="4"/>
      <c r="L43" s="3"/>
      <c r="M43" s="4"/>
      <c r="N43" s="3"/>
      <c r="O43" s="3"/>
      <c r="P43" s="3"/>
      <c r="Q43" s="3"/>
    </row>
    <row r="44" spans="2:17" ht="15.75" x14ac:dyDescent="0.25">
      <c r="B44" s="138" t="s">
        <v>44</v>
      </c>
      <c r="C44" s="139"/>
      <c r="D44" s="138" t="s">
        <v>45</v>
      </c>
      <c r="E44" s="139"/>
      <c r="F44" s="138" t="s">
        <v>51</v>
      </c>
      <c r="G44" s="140"/>
      <c r="H44" s="140"/>
      <c r="I44" s="140"/>
      <c r="J44" s="140"/>
      <c r="K44" s="138" t="s">
        <v>77</v>
      </c>
      <c r="L44" s="138"/>
      <c r="M44" s="138"/>
      <c r="N44" s="138"/>
      <c r="O44" s="138" t="s">
        <v>18</v>
      </c>
      <c r="P44" s="138"/>
      <c r="Q44" s="138"/>
    </row>
    <row r="45" spans="2:17" s="1" customFormat="1" ht="31.5" x14ac:dyDescent="0.25">
      <c r="B45" s="28" t="s">
        <v>46</v>
      </c>
      <c r="C45" s="29" t="s">
        <v>47</v>
      </c>
      <c r="D45" s="28" t="s">
        <v>1</v>
      </c>
      <c r="E45" s="29" t="s">
        <v>63</v>
      </c>
      <c r="F45" s="28" t="s">
        <v>43</v>
      </c>
      <c r="G45" s="30" t="s">
        <v>2</v>
      </c>
      <c r="H45" s="30" t="s">
        <v>5</v>
      </c>
      <c r="I45" s="30" t="s">
        <v>4</v>
      </c>
      <c r="J45" s="29" t="s">
        <v>7</v>
      </c>
      <c r="K45" s="28" t="s">
        <v>17</v>
      </c>
      <c r="L45" s="30" t="s">
        <v>12</v>
      </c>
      <c r="M45" s="30" t="s">
        <v>11</v>
      </c>
      <c r="N45" s="29" t="s">
        <v>14</v>
      </c>
      <c r="O45" s="28" t="s">
        <v>48</v>
      </c>
      <c r="P45" s="30" t="s">
        <v>49</v>
      </c>
      <c r="Q45" s="29" t="s">
        <v>50</v>
      </c>
    </row>
    <row r="46" spans="2:17" s="31" customFormat="1" ht="12" customHeight="1" x14ac:dyDescent="0.25">
      <c r="B46" s="32" t="s">
        <v>60</v>
      </c>
      <c r="C46" s="33" t="s">
        <v>58</v>
      </c>
      <c r="D46" s="32" t="s">
        <v>60</v>
      </c>
      <c r="E46" s="33" t="s">
        <v>62</v>
      </c>
      <c r="F46" s="32" t="s">
        <v>60</v>
      </c>
      <c r="G46" s="34" t="s">
        <v>58</v>
      </c>
      <c r="H46" s="34" t="s">
        <v>54</v>
      </c>
      <c r="I46" s="34" t="s">
        <v>59</v>
      </c>
      <c r="J46" s="33" t="s">
        <v>57</v>
      </c>
      <c r="K46" s="32" t="s">
        <v>61</v>
      </c>
      <c r="L46" s="34" t="s">
        <v>57</v>
      </c>
      <c r="M46" s="34" t="s">
        <v>56</v>
      </c>
      <c r="N46" s="33"/>
      <c r="O46" s="32" t="s">
        <v>64</v>
      </c>
      <c r="P46" s="34" t="s">
        <v>64</v>
      </c>
      <c r="Q46" s="33" t="s">
        <v>64</v>
      </c>
    </row>
    <row r="47" spans="2:17" ht="15.75" x14ac:dyDescent="0.25">
      <c r="B47" s="35">
        <v>0</v>
      </c>
      <c r="C47" s="36">
        <v>44</v>
      </c>
      <c r="D47" s="37">
        <f>Do0B!A$9</f>
        <v>13</v>
      </c>
      <c r="E47" s="40">
        <f>Do0B!V$9</f>
        <v>39.750300453908878</v>
      </c>
      <c r="F47" s="38">
        <f>Do0B!A16</f>
        <v>55</v>
      </c>
      <c r="G47" s="39">
        <f>Do0B!B16</f>
        <v>46.024901798248202</v>
      </c>
      <c r="H47" s="39">
        <f>Do0B!D16</f>
        <v>198.03471886611854</v>
      </c>
      <c r="I47" s="39">
        <f>Do0B!C16</f>
        <v>151.38</v>
      </c>
      <c r="J47" s="40">
        <f>Do0B!F16</f>
        <v>753.49339871984182</v>
      </c>
      <c r="K47" s="41">
        <f>H47/F47</f>
        <v>3.600631252111246</v>
      </c>
      <c r="L47" s="42">
        <f>Do0B!T16</f>
        <v>1413.9120679019197</v>
      </c>
      <c r="M47" s="43">
        <f>Do0B!S16</f>
        <v>25.707492143671267</v>
      </c>
      <c r="N47" s="40">
        <f>Do0B!U13</f>
        <v>80.453780869455528</v>
      </c>
      <c r="O47" s="44">
        <f>Q47-P47</f>
        <v>14639.587265727565</v>
      </c>
      <c r="P47" s="45">
        <f>Do0B!L$33</f>
        <v>21073.806373705145</v>
      </c>
      <c r="Q47" s="46">
        <f>Do0B!W$33</f>
        <v>35713.39363943271</v>
      </c>
    </row>
    <row r="48" spans="2:17" ht="15.75" x14ac:dyDescent="0.25">
      <c r="B48" s="47">
        <v>1</v>
      </c>
      <c r="C48" s="48">
        <v>40</v>
      </c>
      <c r="D48" s="49">
        <f>Do1B!A$9</f>
        <v>15</v>
      </c>
      <c r="E48" s="52">
        <f>Do1B!V$9</f>
        <v>39.751555882528379</v>
      </c>
      <c r="F48" s="50">
        <f>Do1B!A16</f>
        <v>57</v>
      </c>
      <c r="G48" s="51">
        <f>Do1B!B16</f>
        <v>43.1136819190979</v>
      </c>
      <c r="H48" s="51">
        <f>Do1B!D16</f>
        <v>185.87562862261427</v>
      </c>
      <c r="I48" s="51">
        <f>Do1B!C16</f>
        <v>167.31</v>
      </c>
      <c r="J48" s="52">
        <f>Do1B!F16</f>
        <v>698.71083709410539</v>
      </c>
      <c r="K48" s="53">
        <f t="shared" ref="K48:K51" si="2">H48/F48</f>
        <v>3.2609759407476187</v>
      </c>
      <c r="L48" s="54">
        <f>Do1B!T16</f>
        <v>1292.5875361295607</v>
      </c>
      <c r="M48" s="55">
        <f>Do1B!S16</f>
        <v>22.67697431806247</v>
      </c>
      <c r="N48" s="52">
        <f>Do1B!U14</f>
        <v>76.865069274130065</v>
      </c>
      <c r="O48" s="56">
        <f t="shared" ref="O48:O51" si="3">Q48-P48</f>
        <v>11890.563576075059</v>
      </c>
      <c r="P48" s="57">
        <f>Do1B!L$33</f>
        <v>18414.173570119845</v>
      </c>
      <c r="Q48" s="58">
        <f>Do1B!W$33</f>
        <v>30304.737146194904</v>
      </c>
    </row>
    <row r="49" spans="2:17" customFormat="1" ht="15.75" x14ac:dyDescent="0.25">
      <c r="B49" s="35">
        <v>2</v>
      </c>
      <c r="C49" s="36">
        <v>36</v>
      </c>
      <c r="D49" s="37">
        <f>Do2B!A$9</f>
        <v>17</v>
      </c>
      <c r="E49" s="40">
        <f>Do2B!V$9</f>
        <v>39.748317266449995</v>
      </c>
      <c r="F49" s="38">
        <f>Do2B!A17</f>
        <v>65</v>
      </c>
      <c r="G49" s="39">
        <f>Do2B!B17</f>
        <v>42.786904228210403</v>
      </c>
      <c r="H49" s="39">
        <f>Do2B!D17</f>
        <v>189.6695361528285</v>
      </c>
      <c r="I49" s="39">
        <f>Do2B!C17</f>
        <v>158.94</v>
      </c>
      <c r="J49" s="40">
        <f>Do2B!F17</f>
        <v>688.64986454506027</v>
      </c>
      <c r="K49" s="41">
        <f t="shared" si="2"/>
        <v>2.9179928638896691</v>
      </c>
      <c r="L49" s="42">
        <f>Do2B!T17</f>
        <v>1299.6461469495673</v>
      </c>
      <c r="M49" s="43">
        <f>Do2B!S17</f>
        <v>19.99455610691642</v>
      </c>
      <c r="N49" s="40">
        <f>Do2B!U15</f>
        <v>74.538991234139431</v>
      </c>
      <c r="O49" s="44">
        <f t="shared" si="3"/>
        <v>11208.01272690977</v>
      </c>
      <c r="P49" s="45">
        <f>Do2B!L$34</f>
        <v>15617.939119378751</v>
      </c>
      <c r="Q49" s="46">
        <f>Do2B!W$34</f>
        <v>26825.951846288521</v>
      </c>
    </row>
    <row r="50" spans="2:17" customFormat="1" ht="15.75" x14ac:dyDescent="0.25">
      <c r="B50" s="47">
        <v>3</v>
      </c>
      <c r="C50" s="48">
        <v>32</v>
      </c>
      <c r="D50" s="49">
        <f>Do3B!A$9</f>
        <v>19</v>
      </c>
      <c r="E50" s="52">
        <f>Do3B!V$9</f>
        <v>39.748280512977189</v>
      </c>
      <c r="F50" s="50">
        <f>Do3B!A18</f>
        <v>73</v>
      </c>
      <c r="G50" s="51">
        <f>Do3B!B18</f>
        <v>41.625003406524598</v>
      </c>
      <c r="H50" s="51">
        <f>Do3B!D18</f>
        <v>189.61018966258032</v>
      </c>
      <c r="I50" s="51">
        <f>Do3B!C18</f>
        <v>156.96</v>
      </c>
      <c r="J50" s="52">
        <f>Do3B!F18</f>
        <v>667.21668317857711</v>
      </c>
      <c r="K50" s="53">
        <f t="shared" si="2"/>
        <v>2.5973998583915114</v>
      </c>
      <c r="L50" s="54">
        <f>Do3B!T18</f>
        <v>1273.4501139789331</v>
      </c>
      <c r="M50" s="55">
        <f>Do3B!S18</f>
        <v>17.444522109300454</v>
      </c>
      <c r="N50" s="52">
        <f>Do3B!U16</f>
        <v>72.311181172565711</v>
      </c>
      <c r="O50" s="56">
        <f t="shared" si="3"/>
        <v>10088.441596704963</v>
      </c>
      <c r="P50" s="57">
        <f>Do3B!L$35</f>
        <v>12923.414736652101</v>
      </c>
      <c r="Q50" s="58">
        <f>Do3B!W$35</f>
        <v>23011.856333357064</v>
      </c>
    </row>
    <row r="51" spans="2:17" customFormat="1" ht="15.75" x14ac:dyDescent="0.25">
      <c r="B51" s="59">
        <v>4</v>
      </c>
      <c r="C51" s="60">
        <v>28</v>
      </c>
      <c r="D51" s="61">
        <f>Do4B!A$9</f>
        <v>23</v>
      </c>
      <c r="E51" s="64">
        <f>Do4B!V$9</f>
        <v>39.747905427243111</v>
      </c>
      <c r="F51" s="62">
        <f>Do4B!A19</f>
        <v>83</v>
      </c>
      <c r="G51" s="63">
        <f>Do4B!B19</f>
        <v>40.692147361755303</v>
      </c>
      <c r="H51" s="63">
        <f>Do4B!D19</f>
        <v>188.2219456448025</v>
      </c>
      <c r="I51" s="63">
        <f>Do4B!C19</f>
        <v>156.78</v>
      </c>
      <c r="J51" s="64">
        <f>Do4B!F19</f>
        <v>646.60332543092466</v>
      </c>
      <c r="K51" s="65">
        <f t="shared" si="2"/>
        <v>2.2677342848771387</v>
      </c>
      <c r="L51" s="66">
        <f>Do4B!T19</f>
        <v>1237.6374053760169</v>
      </c>
      <c r="M51" s="67">
        <f>Do4B!S19</f>
        <v>14.911294040674901</v>
      </c>
      <c r="N51" s="64">
        <f>Do4B!U19</f>
        <v>67.095642351367417</v>
      </c>
      <c r="O51" s="68">
        <f t="shared" si="3"/>
        <v>8369.04202544701</v>
      </c>
      <c r="P51" s="69">
        <f>Do4B!L$36</f>
        <v>10244.837258676425</v>
      </c>
      <c r="Q51" s="70">
        <f>Do4B!W$36</f>
        <v>18613.879284123435</v>
      </c>
    </row>
    <row r="52" spans="2:17" customFormat="1" x14ac:dyDescent="0.25">
      <c r="B52" s="1"/>
      <c r="C52" s="1"/>
      <c r="D52" s="2"/>
      <c r="E52" s="4"/>
      <c r="F52" s="3"/>
      <c r="G52" s="3"/>
      <c r="H52" s="3"/>
      <c r="I52" s="3"/>
      <c r="J52" s="3"/>
      <c r="K52" s="4"/>
      <c r="L52" s="3"/>
      <c r="M52" s="4"/>
      <c r="N52" s="3"/>
      <c r="O52" s="3"/>
      <c r="P52" s="3"/>
      <c r="Q52" s="3"/>
    </row>
    <row r="53" spans="2:17" ht="29.25" customHeight="1" x14ac:dyDescent="0.35">
      <c r="B53" s="102" t="s">
        <v>122</v>
      </c>
      <c r="C53"/>
      <c r="D53"/>
      <c r="E53"/>
      <c r="F53"/>
      <c r="G53"/>
      <c r="H53"/>
      <c r="I53"/>
      <c r="J53"/>
      <c r="K53"/>
      <c r="L53"/>
      <c r="M53"/>
    </row>
    <row r="54" spans="2:17" ht="15.75" x14ac:dyDescent="0.25">
      <c r="Q54" s="71"/>
    </row>
    <row r="55" spans="2:17" ht="15.75" x14ac:dyDescent="0.25">
      <c r="B55" s="129" t="s">
        <v>111</v>
      </c>
      <c r="C55" s="129"/>
      <c r="D55" s="130" t="s">
        <v>88</v>
      </c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</row>
    <row r="56" spans="2:17" x14ac:dyDescent="0.25">
      <c r="B56" s="124" t="s">
        <v>1</v>
      </c>
      <c r="C56" s="125"/>
      <c r="D56" s="126" t="s">
        <v>89</v>
      </c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8"/>
    </row>
    <row r="57" spans="2:17" x14ac:dyDescent="0.25">
      <c r="B57" s="109" t="s">
        <v>2</v>
      </c>
      <c r="C57" s="110"/>
      <c r="D57" s="113" t="s">
        <v>90</v>
      </c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5"/>
    </row>
    <row r="58" spans="2:17" x14ac:dyDescent="0.25">
      <c r="B58" s="111" t="s">
        <v>4</v>
      </c>
      <c r="C58" s="112"/>
      <c r="D58" s="116" t="s">
        <v>91</v>
      </c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8"/>
    </row>
    <row r="59" spans="2:17" x14ac:dyDescent="0.25">
      <c r="B59" s="109" t="s">
        <v>5</v>
      </c>
      <c r="C59" s="110"/>
      <c r="D59" s="113" t="s">
        <v>108</v>
      </c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5"/>
    </row>
    <row r="60" spans="2:17" x14ac:dyDescent="0.25">
      <c r="B60" s="111" t="s">
        <v>6</v>
      </c>
      <c r="C60" s="112"/>
      <c r="D60" s="116" t="s">
        <v>92</v>
      </c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8"/>
    </row>
    <row r="61" spans="2:17" x14ac:dyDescent="0.25">
      <c r="B61" s="119" t="s">
        <v>7</v>
      </c>
      <c r="C61" s="120"/>
      <c r="D61" s="121" t="s">
        <v>93</v>
      </c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3"/>
    </row>
    <row r="62" spans="2:17" x14ac:dyDescent="0.25">
      <c r="B62" s="124" t="s">
        <v>16</v>
      </c>
      <c r="C62" s="125"/>
      <c r="D62" s="126" t="s">
        <v>94</v>
      </c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8"/>
    </row>
    <row r="63" spans="2:17" x14ac:dyDescent="0.25">
      <c r="B63" s="109" t="s">
        <v>8</v>
      </c>
      <c r="C63" s="110"/>
      <c r="D63" s="113" t="s">
        <v>95</v>
      </c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5"/>
    </row>
    <row r="64" spans="2:17" x14ac:dyDescent="0.25">
      <c r="B64" s="111" t="s">
        <v>9</v>
      </c>
      <c r="C64" s="112"/>
      <c r="D64" s="116" t="s">
        <v>96</v>
      </c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8"/>
    </row>
    <row r="65" spans="2:17" x14ac:dyDescent="0.25">
      <c r="B65" s="109" t="s">
        <v>10</v>
      </c>
      <c r="C65" s="110"/>
      <c r="D65" s="113" t="s">
        <v>97</v>
      </c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5"/>
    </row>
    <row r="66" spans="2:17" x14ac:dyDescent="0.25">
      <c r="B66" s="111" t="s">
        <v>11</v>
      </c>
      <c r="C66" s="112"/>
      <c r="D66" s="116" t="s">
        <v>98</v>
      </c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8"/>
    </row>
    <row r="67" spans="2:17" x14ac:dyDescent="0.25">
      <c r="B67" s="119" t="s">
        <v>12</v>
      </c>
      <c r="C67" s="120"/>
      <c r="D67" s="121" t="s">
        <v>99</v>
      </c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3"/>
    </row>
    <row r="68" spans="2:17" x14ac:dyDescent="0.25">
      <c r="B68" s="124" t="s">
        <v>14</v>
      </c>
      <c r="C68" s="125"/>
      <c r="D68" s="126" t="s">
        <v>105</v>
      </c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8"/>
    </row>
    <row r="69" spans="2:17" x14ac:dyDescent="0.25">
      <c r="B69" s="109" t="s">
        <v>100</v>
      </c>
      <c r="C69" s="110"/>
      <c r="D69" s="113" t="s">
        <v>112</v>
      </c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5"/>
    </row>
    <row r="70" spans="2:17" x14ac:dyDescent="0.25">
      <c r="B70" s="107" t="s">
        <v>29</v>
      </c>
      <c r="C70" s="108"/>
      <c r="D70" s="104" t="s">
        <v>101</v>
      </c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6"/>
    </row>
    <row r="71" spans="2:17" x14ac:dyDescent="0.25">
      <c r="B71" s="109" t="s">
        <v>114</v>
      </c>
      <c r="C71" s="110"/>
      <c r="D71" s="113" t="s">
        <v>118</v>
      </c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5"/>
    </row>
    <row r="72" spans="2:17" x14ac:dyDescent="0.25">
      <c r="B72" s="111" t="s">
        <v>115</v>
      </c>
      <c r="C72" s="112"/>
      <c r="D72" s="116" t="s">
        <v>119</v>
      </c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8"/>
    </row>
    <row r="73" spans="2:17" x14ac:dyDescent="0.25">
      <c r="B73" s="109" t="s">
        <v>116</v>
      </c>
      <c r="C73" s="110"/>
      <c r="D73" s="113" t="s">
        <v>120</v>
      </c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5"/>
    </row>
    <row r="74" spans="2:17" x14ac:dyDescent="0.25">
      <c r="B74" s="107" t="s">
        <v>117</v>
      </c>
      <c r="C74" s="108"/>
      <c r="D74" s="104" t="s">
        <v>113</v>
      </c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6"/>
    </row>
    <row r="75" spans="2:17" x14ac:dyDescent="0.25">
      <c r="C75" s="103" t="s">
        <v>121</v>
      </c>
    </row>
    <row r="76" spans="2:17" ht="15.75" x14ac:dyDescent="0.25">
      <c r="Q76" s="71" t="s">
        <v>75</v>
      </c>
    </row>
    <row r="77" spans="2:17" ht="15.75" x14ac:dyDescent="0.25">
      <c r="Q77" s="71" t="s">
        <v>76</v>
      </c>
    </row>
  </sheetData>
  <mergeCells count="55">
    <mergeCell ref="B44:C44"/>
    <mergeCell ref="D44:E44"/>
    <mergeCell ref="F44:J44"/>
    <mergeCell ref="K44:N44"/>
    <mergeCell ref="O44:Q44"/>
    <mergeCell ref="B33:C33"/>
    <mergeCell ref="D33:E33"/>
    <mergeCell ref="F33:J33"/>
    <mergeCell ref="K33:N33"/>
    <mergeCell ref="O33:Q33"/>
    <mergeCell ref="F2:N2"/>
    <mergeCell ref="F3:N3"/>
    <mergeCell ref="B5:Q5"/>
    <mergeCell ref="B9:B10"/>
    <mergeCell ref="C9:G9"/>
    <mergeCell ref="B56:C56"/>
    <mergeCell ref="D56:Q56"/>
    <mergeCell ref="B55:C55"/>
    <mergeCell ref="D55:Q55"/>
    <mergeCell ref="B57:C57"/>
    <mergeCell ref="D57:Q57"/>
    <mergeCell ref="B58:C58"/>
    <mergeCell ref="D58:Q58"/>
    <mergeCell ref="B59:C59"/>
    <mergeCell ref="D59:Q59"/>
    <mergeCell ref="B60:C60"/>
    <mergeCell ref="D60:Q60"/>
    <mergeCell ref="B61:C61"/>
    <mergeCell ref="D61:Q61"/>
    <mergeCell ref="B62:C62"/>
    <mergeCell ref="D62:Q62"/>
    <mergeCell ref="B63:C63"/>
    <mergeCell ref="D63:Q63"/>
    <mergeCell ref="B64:C64"/>
    <mergeCell ref="D64:Q64"/>
    <mergeCell ref="B65:C65"/>
    <mergeCell ref="D65:Q65"/>
    <mergeCell ref="B66:C66"/>
    <mergeCell ref="D66:Q66"/>
    <mergeCell ref="B67:C67"/>
    <mergeCell ref="D67:Q67"/>
    <mergeCell ref="B68:C68"/>
    <mergeCell ref="D68:Q68"/>
    <mergeCell ref="B69:C69"/>
    <mergeCell ref="D69:Q69"/>
    <mergeCell ref="D74:Q74"/>
    <mergeCell ref="B70:C70"/>
    <mergeCell ref="D70:Q70"/>
    <mergeCell ref="B73:C73"/>
    <mergeCell ref="B74:C74"/>
    <mergeCell ref="B71:C71"/>
    <mergeCell ref="B72:C72"/>
    <mergeCell ref="D73:Q73"/>
    <mergeCell ref="D71:Q71"/>
    <mergeCell ref="D72:Q72"/>
  </mergeCells>
  <pageMargins left="0.70866141732283472" right="0.70866141732283472" top="0.74803149606299213" bottom="0.74803149606299213" header="0.31496062992125984" footer="0.31496062992125984"/>
  <pageSetup paperSize="9" scale="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46"/>
  <sheetViews>
    <sheetView workbookViewId="0">
      <selection activeCell="W23" sqref="W23:W24"/>
    </sheetView>
  </sheetViews>
  <sheetFormatPr defaultColWidth="11.42578125" defaultRowHeight="15" x14ac:dyDescent="0.25"/>
  <cols>
    <col min="1" max="21" width="6.7109375" style="2" customWidth="1"/>
    <col min="22" max="23" width="6.7109375" customWidth="1"/>
  </cols>
  <sheetData>
    <row r="1" spans="1:27" ht="30.75" customHeight="1" x14ac:dyDescent="0.4">
      <c r="D1" s="135" t="s">
        <v>65</v>
      </c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</row>
    <row r="2" spans="1:27" x14ac:dyDescent="0.25">
      <c r="A2" s="5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U2" s="8"/>
      <c r="V2" s="8"/>
      <c r="W2" s="8"/>
    </row>
    <row r="3" spans="1:27" x14ac:dyDescent="0.25">
      <c r="A3" s="5" t="s">
        <v>78</v>
      </c>
      <c r="B3" s="5"/>
      <c r="C3" s="5"/>
      <c r="D3" s="7"/>
      <c r="E3" s="7" t="s">
        <v>79</v>
      </c>
      <c r="F3" s="7"/>
      <c r="G3" s="7"/>
      <c r="H3" s="7"/>
      <c r="I3" s="7"/>
      <c r="J3" s="7"/>
      <c r="K3" s="7" t="s">
        <v>83</v>
      </c>
      <c r="L3" s="7"/>
      <c r="M3" s="7"/>
      <c r="N3" s="7"/>
      <c r="R3" s="7" t="s">
        <v>82</v>
      </c>
      <c r="V3" s="2"/>
      <c r="W3" s="2"/>
    </row>
    <row r="4" spans="1:27" x14ac:dyDescent="0.25">
      <c r="A4" s="7"/>
      <c r="B4" s="7"/>
      <c r="C4" s="7"/>
      <c r="D4" s="7"/>
      <c r="E4" s="7" t="s">
        <v>35</v>
      </c>
      <c r="F4" s="7"/>
      <c r="G4" s="7"/>
      <c r="H4" s="7"/>
      <c r="I4" s="7"/>
      <c r="J4" s="7"/>
      <c r="K4" s="7" t="s">
        <v>80</v>
      </c>
      <c r="L4" s="7"/>
      <c r="M4" s="7"/>
      <c r="N4" s="7"/>
      <c r="O4" s="1"/>
      <c r="P4" s="1"/>
      <c r="Q4" s="1"/>
      <c r="R4" s="7" t="s">
        <v>81</v>
      </c>
      <c r="S4" s="1"/>
      <c r="T4" s="1"/>
      <c r="U4" s="1"/>
      <c r="V4" s="1"/>
      <c r="W4" s="7"/>
    </row>
    <row r="5" spans="1:27" x14ac:dyDescent="0.25">
      <c r="A5" s="5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7" x14ac:dyDescent="0.25">
      <c r="A6" s="151" t="s">
        <v>1</v>
      </c>
      <c r="B6" s="151" t="s">
        <v>2</v>
      </c>
      <c r="C6" s="153" t="s">
        <v>104</v>
      </c>
      <c r="D6" s="154"/>
      <c r="E6" s="154"/>
      <c r="F6" s="154"/>
      <c r="G6" s="154" t="s">
        <v>102</v>
      </c>
      <c r="H6" s="154"/>
      <c r="I6" s="154"/>
      <c r="J6" s="154"/>
      <c r="K6" s="154" t="s">
        <v>103</v>
      </c>
      <c r="L6" s="154"/>
      <c r="M6" s="154"/>
      <c r="N6" s="154"/>
      <c r="O6" s="148" t="s">
        <v>3</v>
      </c>
      <c r="P6" s="149"/>
      <c r="Q6" s="149"/>
      <c r="R6" s="149"/>
      <c r="S6" s="149"/>
      <c r="T6" s="150"/>
      <c r="U6" s="141" t="s">
        <v>14</v>
      </c>
      <c r="V6" s="143" t="s">
        <v>63</v>
      </c>
      <c r="W6" s="141" t="s">
        <v>29</v>
      </c>
    </row>
    <row r="7" spans="1:27" x14ac:dyDescent="0.25">
      <c r="A7" s="152"/>
      <c r="B7" s="152"/>
      <c r="C7" s="74" t="s">
        <v>4</v>
      </c>
      <c r="D7" s="74" t="s">
        <v>5</v>
      </c>
      <c r="E7" s="74" t="s">
        <v>6</v>
      </c>
      <c r="F7" s="74" t="s">
        <v>7</v>
      </c>
      <c r="G7" s="74" t="s">
        <v>4</v>
      </c>
      <c r="H7" s="74" t="s">
        <v>5</v>
      </c>
      <c r="I7" s="74" t="s">
        <v>6</v>
      </c>
      <c r="J7" s="74" t="s">
        <v>7</v>
      </c>
      <c r="K7" s="74" t="s">
        <v>4</v>
      </c>
      <c r="L7" s="74" t="s">
        <v>5</v>
      </c>
      <c r="M7" s="74" t="s">
        <v>6</v>
      </c>
      <c r="N7" s="74" t="s">
        <v>7</v>
      </c>
      <c r="O7" s="73" t="s">
        <v>16</v>
      </c>
      <c r="P7" s="74" t="s">
        <v>8</v>
      </c>
      <c r="Q7" s="74" t="s">
        <v>9</v>
      </c>
      <c r="R7" s="74" t="s">
        <v>10</v>
      </c>
      <c r="S7" s="74" t="s">
        <v>11</v>
      </c>
      <c r="T7" s="74" t="s">
        <v>12</v>
      </c>
      <c r="U7" s="142"/>
      <c r="V7" s="144"/>
      <c r="W7" s="145"/>
    </row>
    <row r="8" spans="1:27" s="78" customFormat="1" ht="12" customHeight="1" x14ac:dyDescent="0.2">
      <c r="A8" s="81" t="s">
        <v>60</v>
      </c>
      <c r="B8" s="81" t="s">
        <v>58</v>
      </c>
      <c r="C8" s="81" t="s">
        <v>59</v>
      </c>
      <c r="D8" s="81" t="s">
        <v>54</v>
      </c>
      <c r="E8" s="81" t="s">
        <v>53</v>
      </c>
      <c r="F8" s="81" t="s">
        <v>57</v>
      </c>
      <c r="G8" s="81" t="s">
        <v>59</v>
      </c>
      <c r="H8" s="81" t="s">
        <v>54</v>
      </c>
      <c r="I8" s="81" t="s">
        <v>53</v>
      </c>
      <c r="J8" s="81" t="s">
        <v>57</v>
      </c>
      <c r="K8" s="81" t="s">
        <v>59</v>
      </c>
      <c r="L8" s="81" t="s">
        <v>54</v>
      </c>
      <c r="M8" s="81" t="s">
        <v>53</v>
      </c>
      <c r="N8" s="81" t="s">
        <v>57</v>
      </c>
      <c r="O8" s="81" t="s">
        <v>55</v>
      </c>
      <c r="P8" s="81" t="s">
        <v>52</v>
      </c>
      <c r="Q8" s="81" t="s">
        <v>52</v>
      </c>
      <c r="R8" s="81" t="s">
        <v>56</v>
      </c>
      <c r="S8" s="81" t="s">
        <v>56</v>
      </c>
      <c r="T8" s="81" t="s">
        <v>57</v>
      </c>
      <c r="U8" s="79"/>
      <c r="V8" s="80" t="s">
        <v>62</v>
      </c>
      <c r="W8" s="81" t="s">
        <v>58</v>
      </c>
    </row>
    <row r="9" spans="1:27" x14ac:dyDescent="0.25">
      <c r="A9" s="14">
        <v>13</v>
      </c>
      <c r="B9" s="11">
        <v>13.1587363605499</v>
      </c>
      <c r="C9" s="10">
        <v>1613.9549999999999</v>
      </c>
      <c r="D9" s="10">
        <v>44.687253159969949</v>
      </c>
      <c r="E9" s="11">
        <v>25.647726749705921</v>
      </c>
      <c r="F9" s="10">
        <v>139.75957903256838</v>
      </c>
      <c r="G9" s="10">
        <v>526.8449999999998</v>
      </c>
      <c r="H9" s="10">
        <v>43.285318790761977</v>
      </c>
      <c r="I9" s="11">
        <v>7.8551456024984496</v>
      </c>
      <c r="J9" s="10">
        <v>42.376025585372588</v>
      </c>
      <c r="K9" s="10">
        <v>1087.1100000000001</v>
      </c>
      <c r="L9" s="10">
        <v>45.351083170570874</v>
      </c>
      <c r="M9" s="11">
        <v>17.792581147207471</v>
      </c>
      <c r="N9" s="10">
        <v>97.383553447195794</v>
      </c>
      <c r="O9" s="11">
        <v>3.0505318826510432</v>
      </c>
      <c r="P9" s="12">
        <v>2.8369903070519698</v>
      </c>
      <c r="Q9" s="12">
        <v>1.9729020576696863</v>
      </c>
      <c r="R9" s="11">
        <v>28.998151089902851</v>
      </c>
      <c r="S9" s="11">
        <v>10.750736848659106</v>
      </c>
      <c r="T9" s="75">
        <v>139.75957903256838</v>
      </c>
      <c r="U9" s="10">
        <v>91.154139197394798</v>
      </c>
      <c r="V9" s="11">
        <v>32.643103432251813</v>
      </c>
      <c r="W9" s="16">
        <v>3.2591018951042545</v>
      </c>
      <c r="Y9" s="9"/>
      <c r="Z9" s="9"/>
      <c r="AA9" s="9"/>
    </row>
    <row r="10" spans="1:27" x14ac:dyDescent="0.25">
      <c r="A10" s="85">
        <v>19</v>
      </c>
      <c r="B10" s="86">
        <v>18.923868600845299</v>
      </c>
      <c r="C10" s="87">
        <v>1079.73</v>
      </c>
      <c r="D10" s="87">
        <v>63.654274466477133</v>
      </c>
      <c r="E10" s="86">
        <v>34.81452298951929</v>
      </c>
      <c r="F10" s="87">
        <v>271.37245998661291</v>
      </c>
      <c r="G10" s="87">
        <v>411.29999999999995</v>
      </c>
      <c r="H10" s="87">
        <v>55.549037362014985</v>
      </c>
      <c r="I10" s="86">
        <v>10.099547589534478</v>
      </c>
      <c r="J10" s="87">
        <v>75.706355819249097</v>
      </c>
      <c r="K10" s="87">
        <v>668.43000000000006</v>
      </c>
      <c r="L10" s="87">
        <v>68.164312152593197</v>
      </c>
      <c r="M10" s="86">
        <v>24.714975399984812</v>
      </c>
      <c r="N10" s="87">
        <v>195.66610416736381</v>
      </c>
      <c r="O10" s="86">
        <v>3.0559444909906168</v>
      </c>
      <c r="P10" s="88">
        <v>2.4649724277512401</v>
      </c>
      <c r="Q10" s="88">
        <v>2.2457720311588285</v>
      </c>
      <c r="R10" s="86">
        <v>31.396963501210944</v>
      </c>
      <c r="S10" s="86">
        <v>16.513078187999238</v>
      </c>
      <c r="T10" s="89">
        <v>313.7484855719855</v>
      </c>
      <c r="U10" s="87">
        <v>87.217320466502258</v>
      </c>
      <c r="V10" s="86">
        <v>38.092856547470191</v>
      </c>
      <c r="W10" s="86">
        <v>4.1562983755830727</v>
      </c>
    </row>
    <row r="11" spans="1:27" x14ac:dyDescent="0.25">
      <c r="A11" s="15">
        <v>25</v>
      </c>
      <c r="B11" s="16">
        <v>24.428645959854101</v>
      </c>
      <c r="C11" s="17">
        <v>663.48</v>
      </c>
      <c r="D11" s="17">
        <v>86.499979098536897</v>
      </c>
      <c r="E11" s="16">
        <v>39.504809966492253</v>
      </c>
      <c r="F11" s="17">
        <v>384.04788517462947</v>
      </c>
      <c r="G11" s="17">
        <v>214.74</v>
      </c>
      <c r="H11" s="17">
        <v>74.91235718650627</v>
      </c>
      <c r="I11" s="16">
        <v>9.5898101670811826</v>
      </c>
      <c r="J11" s="17">
        <v>91.238297393703533</v>
      </c>
      <c r="K11" s="17">
        <v>448.74</v>
      </c>
      <c r="L11" s="17">
        <v>91.527593197992431</v>
      </c>
      <c r="M11" s="16">
        <v>29.914999799411071</v>
      </c>
      <c r="N11" s="17">
        <v>292.80958778092594</v>
      </c>
      <c r="O11" s="16">
        <v>3.075429245292495</v>
      </c>
      <c r="P11" s="13">
        <v>2.1653594803123801</v>
      </c>
      <c r="Q11" s="13">
        <v>2.2983801263410073</v>
      </c>
      <c r="R11" s="16">
        <v>32.162644627839143</v>
      </c>
      <c r="S11" s="16">
        <v>20.085210663170045</v>
      </c>
      <c r="T11" s="76">
        <v>502.13026657925116</v>
      </c>
      <c r="U11" s="17">
        <v>83.848872239663521</v>
      </c>
      <c r="V11" s="16">
        <v>32.365708084644602</v>
      </c>
      <c r="W11" s="16">
        <v>5.0726779650246412</v>
      </c>
    </row>
    <row r="12" spans="1:27" x14ac:dyDescent="0.25">
      <c r="A12" s="85">
        <v>31</v>
      </c>
      <c r="B12" s="86">
        <v>29.549229766845698</v>
      </c>
      <c r="C12" s="87">
        <v>445.77000000000004</v>
      </c>
      <c r="D12" s="87">
        <v>109.9801686697474</v>
      </c>
      <c r="E12" s="86">
        <v>42.90715668128535</v>
      </c>
      <c r="F12" s="87">
        <v>485.78545554796079</v>
      </c>
      <c r="G12" s="87">
        <v>132.84000000000003</v>
      </c>
      <c r="H12" s="87">
        <v>94.851215609960406</v>
      </c>
      <c r="I12" s="86">
        <v>9.5105318698410315</v>
      </c>
      <c r="J12" s="87">
        <v>106.09348030813351</v>
      </c>
      <c r="K12" s="87">
        <v>312.93</v>
      </c>
      <c r="L12" s="87">
        <v>115.80641588209947</v>
      </c>
      <c r="M12" s="86">
        <v>33.396624811444319</v>
      </c>
      <c r="N12" s="87">
        <v>379.69197523982729</v>
      </c>
      <c r="O12" s="86">
        <v>3.146599815213508</v>
      </c>
      <c r="P12" s="88">
        <v>1.9194814488698857</v>
      </c>
      <c r="Q12" s="88">
        <v>2.2726341948515953</v>
      </c>
      <c r="R12" s="86">
        <v>31.9229590474872</v>
      </c>
      <c r="S12" s="86">
        <v>22.422778527299549</v>
      </c>
      <c r="T12" s="89">
        <v>695.10613434628601</v>
      </c>
      <c r="U12" s="87">
        <v>80.16105364081865</v>
      </c>
      <c r="V12" s="86">
        <v>29.800121138703823</v>
      </c>
      <c r="W12" s="86">
        <v>6.0745076606198474</v>
      </c>
    </row>
    <row r="13" spans="1:27" x14ac:dyDescent="0.25">
      <c r="A13" s="15">
        <v>37</v>
      </c>
      <c r="B13" s="16">
        <v>34.278190189361503</v>
      </c>
      <c r="C13" s="17">
        <v>311.13</v>
      </c>
      <c r="D13" s="17">
        <v>134.68601477338052</v>
      </c>
      <c r="E13" s="16">
        <v>44.913513504663634</v>
      </c>
      <c r="F13" s="17">
        <v>571.2297295247505</v>
      </c>
      <c r="G13" s="17">
        <v>81.63</v>
      </c>
      <c r="H13" s="17">
        <v>119.43240794933743</v>
      </c>
      <c r="I13" s="16">
        <v>9.2658296045115875</v>
      </c>
      <c r="J13" s="17">
        <v>117.45367863432659</v>
      </c>
      <c r="K13" s="17">
        <v>229.5</v>
      </c>
      <c r="L13" s="17">
        <v>139.71056408950017</v>
      </c>
      <c r="M13" s="16">
        <v>35.647683900152046</v>
      </c>
      <c r="N13" s="17">
        <v>453.7760508904239</v>
      </c>
      <c r="O13" s="16">
        <v>3.1972330672931264</v>
      </c>
      <c r="P13" s="13">
        <v>1.7134498102658249</v>
      </c>
      <c r="Q13" s="13">
        <v>2.2153661819896966</v>
      </c>
      <c r="R13" s="16">
        <v>31.024702094804258</v>
      </c>
      <c r="S13" s="16">
        <v>23.96334834138403</v>
      </c>
      <c r="T13" s="76">
        <v>886.64388863120917</v>
      </c>
      <c r="U13" s="17">
        <v>77.079432882588321</v>
      </c>
      <c r="V13" s="16">
        <v>26.236621347989587</v>
      </c>
      <c r="W13" s="16">
        <v>7.0932185183446164</v>
      </c>
      <c r="Y13" s="9"/>
      <c r="AA13" s="9"/>
    </row>
    <row r="14" spans="1:27" x14ac:dyDescent="0.25">
      <c r="A14" s="85">
        <v>43</v>
      </c>
      <c r="B14" s="86">
        <v>38.556481426239003</v>
      </c>
      <c r="C14" s="87">
        <v>228.6</v>
      </c>
      <c r="D14" s="87">
        <v>158.89396249325893</v>
      </c>
      <c r="E14" s="86">
        <v>45.928382761746995</v>
      </c>
      <c r="F14" s="87">
        <v>639.92426345924946</v>
      </c>
      <c r="G14" s="87">
        <v>51.75</v>
      </c>
      <c r="H14" s="87">
        <v>141.40051824283137</v>
      </c>
      <c r="I14" s="86">
        <v>8.2338413070803469</v>
      </c>
      <c r="J14" s="87">
        <v>114.32768300776263</v>
      </c>
      <c r="K14" s="87">
        <v>176.85</v>
      </c>
      <c r="L14" s="87">
        <v>163.65965533777535</v>
      </c>
      <c r="M14" s="86">
        <v>37.694541454666648</v>
      </c>
      <c r="N14" s="87">
        <v>525.59658045148683</v>
      </c>
      <c r="O14" s="86">
        <v>3.2168182769401454</v>
      </c>
      <c r="P14" s="88">
        <v>1.5452159312972995</v>
      </c>
      <c r="Q14" s="88">
        <v>2.1453313394235747</v>
      </c>
      <c r="R14" s="86">
        <v>30.021094104740257</v>
      </c>
      <c r="S14" s="86">
        <v>24.948653516279876</v>
      </c>
      <c r="T14" s="89">
        <v>1072.7921012000347</v>
      </c>
      <c r="U14" s="87">
        <v>74.012595558109581</v>
      </c>
      <c r="V14" s="86">
        <v>22.637795275590552</v>
      </c>
      <c r="W14" s="86">
        <v>8.0803868290970904</v>
      </c>
      <c r="Y14" s="9"/>
    </row>
    <row r="15" spans="1:27" x14ac:dyDescent="0.25">
      <c r="A15" s="15">
        <v>49</v>
      </c>
      <c r="B15" s="16">
        <v>42.495324291229203</v>
      </c>
      <c r="C15" s="17">
        <v>176.31</v>
      </c>
      <c r="D15" s="17">
        <v>182.96056499941622</v>
      </c>
      <c r="E15" s="16">
        <v>46.965837042450445</v>
      </c>
      <c r="F15" s="17">
        <v>705.72314507992837</v>
      </c>
      <c r="G15" s="17">
        <v>34.650000000000006</v>
      </c>
      <c r="H15" s="17">
        <v>164.58984355601964</v>
      </c>
      <c r="I15" s="16">
        <v>7.4696360155064951</v>
      </c>
      <c r="J15" s="17">
        <v>112.20601149786148</v>
      </c>
      <c r="K15" s="17">
        <v>141.66</v>
      </c>
      <c r="L15" s="17">
        <v>187.17979858605472</v>
      </c>
      <c r="M15" s="16">
        <v>39.49620102694395</v>
      </c>
      <c r="N15" s="17">
        <v>593.51713358206689</v>
      </c>
      <c r="O15" s="16">
        <v>3.2113759423599126</v>
      </c>
      <c r="P15" s="13">
        <v>1.4097358440094503</v>
      </c>
      <c r="Q15" s="13">
        <v>2.0718478200611741</v>
      </c>
      <c r="R15" s="16">
        <v>29.015774300663832</v>
      </c>
      <c r="S15" s="16">
        <v>25.569768690377067</v>
      </c>
      <c r="T15" s="76">
        <v>1252.9186658284764</v>
      </c>
      <c r="U15" s="17">
        <v>71.323401143561128</v>
      </c>
      <c r="V15" s="16">
        <v>19.652884124553346</v>
      </c>
      <c r="W15" s="16">
        <v>9.028405682141198</v>
      </c>
      <c r="Y15" s="9"/>
    </row>
    <row r="16" spans="1:27" x14ac:dyDescent="0.25">
      <c r="A16" s="85">
        <v>55</v>
      </c>
      <c r="B16" s="86">
        <v>46.083975177764799</v>
      </c>
      <c r="C16" s="87">
        <v>141.38999999999999</v>
      </c>
      <c r="D16" s="87">
        <v>206.44805424021419</v>
      </c>
      <c r="E16" s="86">
        <v>47.954616091000652</v>
      </c>
      <c r="F16" s="87">
        <v>767.61177938604988</v>
      </c>
      <c r="G16" s="87">
        <v>24.749999999999986</v>
      </c>
      <c r="H16" s="87">
        <v>185.67681234143464</v>
      </c>
      <c r="I16" s="86">
        <v>6.790170547704335</v>
      </c>
      <c r="J16" s="87">
        <v>108.73843325457835</v>
      </c>
      <c r="K16" s="87">
        <v>116.64</v>
      </c>
      <c r="L16" s="87">
        <v>210.59221455841839</v>
      </c>
      <c r="M16" s="86">
        <v>41.164445543296317</v>
      </c>
      <c r="N16" s="87">
        <v>658.87334613147152</v>
      </c>
      <c r="O16" s="86">
        <v>3.1879737024813011</v>
      </c>
      <c r="P16" s="88">
        <v>1.3029062472057003</v>
      </c>
      <c r="Q16" s="88">
        <v>1.9996174226737133</v>
      </c>
      <c r="R16" s="86">
        <v>28.132956827143044</v>
      </c>
      <c r="S16" s="86">
        <v>25.945696575135624</v>
      </c>
      <c r="T16" s="89">
        <v>1427.0133116324594</v>
      </c>
      <c r="U16" s="87">
        <v>68.747592673478934</v>
      </c>
      <c r="V16" s="86">
        <v>17.504774029280703</v>
      </c>
      <c r="W16" s="86">
        <v>9.9497215909587222</v>
      </c>
      <c r="Y16" s="9"/>
    </row>
    <row r="17" spans="1:25" x14ac:dyDescent="0.25">
      <c r="A17" s="15">
        <v>61</v>
      </c>
      <c r="B17" s="16">
        <v>49.371347141265801</v>
      </c>
      <c r="C17" s="17">
        <v>116.64</v>
      </c>
      <c r="D17" s="17">
        <v>229.7200567733062</v>
      </c>
      <c r="E17" s="16">
        <v>48.981883026530518</v>
      </c>
      <c r="F17" s="17">
        <v>827.67108709432978</v>
      </c>
      <c r="G17" s="17">
        <v>17.72999999999999</v>
      </c>
      <c r="H17" s="17">
        <v>212.38222721664033</v>
      </c>
      <c r="I17" s="16">
        <v>6.3640738889481554</v>
      </c>
      <c r="J17" s="17">
        <v>108.26689874480462</v>
      </c>
      <c r="K17" s="17">
        <v>98.910000000000011</v>
      </c>
      <c r="L17" s="17">
        <v>232.69143137175701</v>
      </c>
      <c r="M17" s="16">
        <v>42.617809137582363</v>
      </c>
      <c r="N17" s="17">
        <v>719.40418834952516</v>
      </c>
      <c r="O17" s="16">
        <v>3.166417340395133</v>
      </c>
      <c r="P17" s="13">
        <v>1.2072186090284991</v>
      </c>
      <c r="Q17" s="13">
        <v>1.9310884545948921</v>
      </c>
      <c r="R17" s="16">
        <v>27.159098294112464</v>
      </c>
      <c r="S17" s="16">
        <v>26.16083692779209</v>
      </c>
      <c r="T17" s="76">
        <v>1595.8110525953175</v>
      </c>
      <c r="U17" s="17">
        <v>66.6567997637312</v>
      </c>
      <c r="V17" s="16">
        <v>15.20061728395061</v>
      </c>
      <c r="W17" s="16">
        <v>10.804746531355546</v>
      </c>
      <c r="Y17" s="9"/>
    </row>
    <row r="18" spans="1:25" x14ac:dyDescent="0.25">
      <c r="A18" s="85">
        <v>67</v>
      </c>
      <c r="B18" s="86">
        <v>52.345558715820303</v>
      </c>
      <c r="C18" s="87">
        <v>98.910000000000011</v>
      </c>
      <c r="D18" s="87">
        <v>251.6899354141278</v>
      </c>
      <c r="E18" s="86">
        <v>49.861120791753358</v>
      </c>
      <c r="F18" s="87">
        <v>882.35877811419994</v>
      </c>
      <c r="G18" s="87">
        <v>13.680000000000007</v>
      </c>
      <c r="H18" s="87">
        <v>232.43347182133397</v>
      </c>
      <c r="I18" s="86">
        <v>5.8813032352636796</v>
      </c>
      <c r="J18" s="87">
        <v>104.22775721161179</v>
      </c>
      <c r="K18" s="87">
        <v>85.23</v>
      </c>
      <c r="L18" s="87">
        <v>254.64514444872432</v>
      </c>
      <c r="M18" s="86">
        <v>43.979817556489678</v>
      </c>
      <c r="N18" s="87">
        <v>778.13102090258815</v>
      </c>
      <c r="O18" s="86">
        <v>3.148089340597489</v>
      </c>
      <c r="P18" s="88">
        <v>1.1277443483116503</v>
      </c>
      <c r="Q18" s="88">
        <v>1.8662642893202901</v>
      </c>
      <c r="R18" s="86">
        <v>26.308915286208315</v>
      </c>
      <c r="S18" s="86">
        <v>26.250233468059587</v>
      </c>
      <c r="T18" s="89">
        <v>1758.7656423599924</v>
      </c>
      <c r="U18" s="87">
        <v>64.579445669653353</v>
      </c>
      <c r="V18" s="86">
        <v>13.830755232029123</v>
      </c>
      <c r="W18" s="86">
        <v>11.639610293860478</v>
      </c>
      <c r="Y18" s="9"/>
    </row>
    <row r="19" spans="1:25" x14ac:dyDescent="0.25">
      <c r="A19" s="15">
        <v>73</v>
      </c>
      <c r="B19" s="16">
        <v>55.144435238057703</v>
      </c>
      <c r="C19" s="17">
        <v>85.23</v>
      </c>
      <c r="D19" s="17">
        <v>273.53368049230926</v>
      </c>
      <c r="E19" s="16">
        <v>50.746283646359579</v>
      </c>
      <c r="F19" s="17">
        <v>935.98451261983803</v>
      </c>
      <c r="G19" s="17">
        <v>10.530000000000001</v>
      </c>
      <c r="H19" s="17">
        <v>256.32135744221932</v>
      </c>
      <c r="I19" s="16">
        <v>5.5053900790466344</v>
      </c>
      <c r="J19" s="17">
        <v>99.700684553642418</v>
      </c>
      <c r="K19" s="17">
        <v>74.7</v>
      </c>
      <c r="L19" s="17">
        <v>275.87364827301559</v>
      </c>
      <c r="M19" s="16">
        <v>45.240893567312945</v>
      </c>
      <c r="N19" s="17">
        <v>836.28382806619561</v>
      </c>
      <c r="O19" s="16">
        <v>3.1287405654232714</v>
      </c>
      <c r="P19" s="13">
        <v>1.0610869330923738</v>
      </c>
      <c r="Q19" s="13">
        <v>1.8055640201962924</v>
      </c>
      <c r="R19" s="16">
        <v>25.615532690087395</v>
      </c>
      <c r="S19" s="16">
        <v>26.255056631195099</v>
      </c>
      <c r="T19" s="76">
        <v>1916.6191340772423</v>
      </c>
      <c r="U19" s="17">
        <v>62.797354410158682</v>
      </c>
      <c r="V19" s="16">
        <v>12.354804646251319</v>
      </c>
      <c r="W19" s="16">
        <v>12.432955615025778</v>
      </c>
      <c r="Y19" s="9"/>
    </row>
    <row r="20" spans="1:25" x14ac:dyDescent="0.25">
      <c r="A20" s="90">
        <v>79</v>
      </c>
      <c r="B20" s="91">
        <v>57.941541464931902</v>
      </c>
      <c r="C20" s="92">
        <v>74.7</v>
      </c>
      <c r="D20" s="92">
        <v>294.64609166555522</v>
      </c>
      <c r="E20" s="91">
        <v>51.607415165867188</v>
      </c>
      <c r="F20" s="92">
        <v>989.97702420671999</v>
      </c>
      <c r="G20" s="92">
        <v>74.7</v>
      </c>
      <c r="H20" s="92">
        <v>294.64609166555522</v>
      </c>
      <c r="I20" s="91">
        <v>51.607415165867188</v>
      </c>
      <c r="J20" s="92">
        <v>989.97702420671999</v>
      </c>
      <c r="K20" s="92" t="s">
        <v>27</v>
      </c>
      <c r="L20" s="92" t="s">
        <v>27</v>
      </c>
      <c r="M20" s="91" t="s">
        <v>27</v>
      </c>
      <c r="N20" s="92" t="s">
        <v>27</v>
      </c>
      <c r="O20" s="91" t="s">
        <v>27</v>
      </c>
      <c r="P20" s="93" t="s">
        <v>27</v>
      </c>
      <c r="Q20" s="93">
        <v>1.7490214566187796</v>
      </c>
      <c r="R20" s="91" t="s">
        <v>27</v>
      </c>
      <c r="S20" s="91">
        <v>26.206485192629955</v>
      </c>
      <c r="T20" s="94">
        <v>2070.3123302177664</v>
      </c>
      <c r="U20" s="92">
        <v>61.778766511016315</v>
      </c>
      <c r="V20" s="95" t="s">
        <v>27</v>
      </c>
      <c r="W20" s="96" t="s">
        <v>27</v>
      </c>
    </row>
    <row r="22" spans="1:25" x14ac:dyDescent="0.25">
      <c r="A22" s="5" t="s">
        <v>30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5" ht="15" customHeight="1" x14ac:dyDescent="0.25">
      <c r="A23" s="141" t="s">
        <v>1</v>
      </c>
      <c r="B23" s="141" t="s">
        <v>2</v>
      </c>
      <c r="C23" s="146" t="s">
        <v>31</v>
      </c>
      <c r="D23" s="155"/>
      <c r="E23" s="155"/>
      <c r="F23" s="155"/>
      <c r="G23" s="155"/>
      <c r="H23" s="155"/>
      <c r="I23" s="155"/>
      <c r="J23" s="147"/>
      <c r="K23" s="146" t="s">
        <v>109</v>
      </c>
      <c r="L23" s="147"/>
      <c r="M23" s="146" t="s">
        <v>32</v>
      </c>
      <c r="N23" s="155"/>
      <c r="O23" s="155"/>
      <c r="P23" s="155"/>
      <c r="Q23" s="155"/>
      <c r="R23" s="155"/>
      <c r="S23" s="155"/>
      <c r="T23" s="147"/>
      <c r="U23" s="146" t="s">
        <v>110</v>
      </c>
      <c r="V23" s="147"/>
      <c r="W23" s="143" t="s">
        <v>107</v>
      </c>
    </row>
    <row r="24" spans="1:25" x14ac:dyDescent="0.25">
      <c r="A24" s="145"/>
      <c r="B24" s="145"/>
      <c r="C24" s="82" t="s">
        <v>19</v>
      </c>
      <c r="D24" s="82" t="s">
        <v>20</v>
      </c>
      <c r="E24" s="82" t="s">
        <v>21</v>
      </c>
      <c r="F24" s="82" t="s">
        <v>22</v>
      </c>
      <c r="G24" s="82" t="s">
        <v>23</v>
      </c>
      <c r="H24" s="82" t="s">
        <v>24</v>
      </c>
      <c r="I24" s="82" t="s">
        <v>25</v>
      </c>
      <c r="J24" s="82" t="s">
        <v>26</v>
      </c>
      <c r="K24" s="98" t="s">
        <v>109</v>
      </c>
      <c r="L24" s="98" t="s">
        <v>106</v>
      </c>
      <c r="M24" s="82" t="s">
        <v>19</v>
      </c>
      <c r="N24" s="82" t="s">
        <v>20</v>
      </c>
      <c r="O24" s="82" t="s">
        <v>21</v>
      </c>
      <c r="P24" s="82" t="s">
        <v>22</v>
      </c>
      <c r="Q24" s="82" t="s">
        <v>23</v>
      </c>
      <c r="R24" s="82" t="s">
        <v>24</v>
      </c>
      <c r="S24" s="82" t="s">
        <v>25</v>
      </c>
      <c r="T24" s="82" t="s">
        <v>26</v>
      </c>
      <c r="U24" s="98" t="s">
        <v>110</v>
      </c>
      <c r="V24" s="98" t="s">
        <v>106</v>
      </c>
      <c r="W24" s="144"/>
    </row>
    <row r="25" spans="1:25" s="78" customFormat="1" ht="12" x14ac:dyDescent="0.2">
      <c r="A25" s="81" t="s">
        <v>60</v>
      </c>
      <c r="B25" s="81" t="s">
        <v>58</v>
      </c>
      <c r="C25" s="81" t="s">
        <v>57</v>
      </c>
      <c r="D25" s="81" t="s">
        <v>57</v>
      </c>
      <c r="E25" s="81" t="s">
        <v>57</v>
      </c>
      <c r="F25" s="81" t="s">
        <v>57</v>
      </c>
      <c r="G25" s="81" t="s">
        <v>57</v>
      </c>
      <c r="H25" s="81" t="s">
        <v>57</v>
      </c>
      <c r="I25" s="81" t="s">
        <v>57</v>
      </c>
      <c r="J25" s="81" t="s">
        <v>57</v>
      </c>
      <c r="K25" s="81" t="s">
        <v>64</v>
      </c>
      <c r="L25" s="81" t="s">
        <v>64</v>
      </c>
      <c r="M25" s="81" t="s">
        <v>57</v>
      </c>
      <c r="N25" s="81" t="s">
        <v>57</v>
      </c>
      <c r="O25" s="81" t="s">
        <v>57</v>
      </c>
      <c r="P25" s="81" t="s">
        <v>57</v>
      </c>
      <c r="Q25" s="81" t="s">
        <v>57</v>
      </c>
      <c r="R25" s="81" t="s">
        <v>57</v>
      </c>
      <c r="S25" s="81" t="s">
        <v>57</v>
      </c>
      <c r="T25" s="81" t="s">
        <v>57</v>
      </c>
      <c r="U25" s="81" t="s">
        <v>64</v>
      </c>
      <c r="V25" s="81" t="s">
        <v>64</v>
      </c>
      <c r="W25" s="81" t="s">
        <v>64</v>
      </c>
    </row>
    <row r="26" spans="1:25" x14ac:dyDescent="0.25">
      <c r="A26" s="72">
        <v>13</v>
      </c>
      <c r="B26" s="16">
        <v>13.1587363605499</v>
      </c>
      <c r="C26" s="17">
        <v>29.55829669156725</v>
      </c>
      <c r="D26" s="17">
        <v>84.661868357498548</v>
      </c>
      <c r="E26" s="17">
        <v>22.699002931560418</v>
      </c>
      <c r="F26" s="17">
        <v>2.4955828135839333</v>
      </c>
      <c r="G26" s="17">
        <v>0</v>
      </c>
      <c r="H26" s="17">
        <v>0</v>
      </c>
      <c r="I26" s="17">
        <v>0</v>
      </c>
      <c r="J26" s="17">
        <v>0</v>
      </c>
      <c r="K26" s="76">
        <v>1947.6232351817205</v>
      </c>
      <c r="L26" s="76">
        <v>1505.5761073971119</v>
      </c>
      <c r="M26" s="17">
        <v>10.49536099302099</v>
      </c>
      <c r="N26" s="17">
        <v>23.978838817055088</v>
      </c>
      <c r="O26" s="17">
        <v>6.7523124370357479</v>
      </c>
      <c r="P26" s="17">
        <v>0.80468509990248638</v>
      </c>
      <c r="Q26" s="17">
        <v>0</v>
      </c>
      <c r="R26" s="17">
        <v>0</v>
      </c>
      <c r="S26" s="17">
        <v>0</v>
      </c>
      <c r="T26" s="17">
        <v>0</v>
      </c>
      <c r="U26" s="76">
        <v>522.32559184941408</v>
      </c>
      <c r="V26" s="76">
        <v>403.77467118128698</v>
      </c>
      <c r="W26" s="76">
        <v>1505.5761073971119</v>
      </c>
    </row>
    <row r="27" spans="1:25" x14ac:dyDescent="0.25">
      <c r="A27" s="97">
        <v>19</v>
      </c>
      <c r="B27" s="86">
        <v>18.923868600845299</v>
      </c>
      <c r="C27" s="87">
        <v>6.4573025004555458</v>
      </c>
      <c r="D27" s="87">
        <v>69.467201901441967</v>
      </c>
      <c r="E27" s="87">
        <v>59.259942876206708</v>
      </c>
      <c r="F27" s="87">
        <v>106.05053038307182</v>
      </c>
      <c r="G27" s="87">
        <v>29.74657794485266</v>
      </c>
      <c r="H27" s="87">
        <v>0</v>
      </c>
      <c r="I27" s="87">
        <v>0</v>
      </c>
      <c r="J27" s="87">
        <v>0</v>
      </c>
      <c r="K27" s="89">
        <v>8348.0088909579572</v>
      </c>
      <c r="L27" s="89">
        <v>5730.3300855888128</v>
      </c>
      <c r="M27" s="87">
        <v>4.7885428805374417</v>
      </c>
      <c r="N27" s="87">
        <v>33.462429363139385</v>
      </c>
      <c r="O27" s="87">
        <v>13.838283157891325</v>
      </c>
      <c r="P27" s="87">
        <v>18.225856318601231</v>
      </c>
      <c r="Q27" s="87">
        <v>5.0003397184962664</v>
      </c>
      <c r="R27" s="87">
        <v>0</v>
      </c>
      <c r="S27" s="87">
        <v>0</v>
      </c>
      <c r="T27" s="87">
        <v>0</v>
      </c>
      <c r="U27" s="89">
        <v>1657.8389863890441</v>
      </c>
      <c r="V27" s="89">
        <v>1137.9916750037212</v>
      </c>
      <c r="W27" s="89">
        <v>6134.1047567700998</v>
      </c>
    </row>
    <row r="28" spans="1:25" x14ac:dyDescent="0.25">
      <c r="A28" s="72">
        <v>25</v>
      </c>
      <c r="B28" s="16">
        <v>24.428645959854101</v>
      </c>
      <c r="C28" s="17">
        <v>0.69518529081986857</v>
      </c>
      <c r="D28" s="17">
        <v>16.649017969880035</v>
      </c>
      <c r="E28" s="17">
        <v>28.429455551595616</v>
      </c>
      <c r="F28" s="17">
        <v>117.02868323895437</v>
      </c>
      <c r="G28" s="17">
        <v>192.92960366235098</v>
      </c>
      <c r="H28" s="17">
        <v>27.740215217221021</v>
      </c>
      <c r="I28" s="17">
        <v>0</v>
      </c>
      <c r="J28" s="17">
        <v>0</v>
      </c>
      <c r="K28" s="76">
        <v>17666.078760505166</v>
      </c>
      <c r="L28" s="76">
        <v>10768.020365711862</v>
      </c>
      <c r="M28" s="17">
        <v>0.63531398973693376</v>
      </c>
      <c r="N28" s="17">
        <v>10.720711174443128</v>
      </c>
      <c r="O28" s="17">
        <v>14.473552190810983</v>
      </c>
      <c r="P28" s="17">
        <v>33.932777978142312</v>
      </c>
      <c r="Q28" s="17">
        <v>26.254118527776061</v>
      </c>
      <c r="R28" s="17">
        <v>4.6460992889877275</v>
      </c>
      <c r="S28" s="17">
        <v>0</v>
      </c>
      <c r="T28" s="17">
        <v>0</v>
      </c>
      <c r="U28" s="76">
        <v>3255.7957899242156</v>
      </c>
      <c r="V28" s="76">
        <v>1984.5080420948138</v>
      </c>
      <c r="W28" s="76">
        <v>12309.78671189687</v>
      </c>
    </row>
    <row r="29" spans="1:25" x14ac:dyDescent="0.25">
      <c r="A29" s="97">
        <v>31</v>
      </c>
      <c r="B29" s="86">
        <v>29.549229766845698</v>
      </c>
      <c r="C29" s="87">
        <v>0</v>
      </c>
      <c r="D29" s="87">
        <v>3.4365598159452295</v>
      </c>
      <c r="E29" s="87">
        <v>6.6980576941697869</v>
      </c>
      <c r="F29" s="87">
        <v>45.8685291119411</v>
      </c>
      <c r="G29" s="87">
        <v>209.32102126867139</v>
      </c>
      <c r="H29" s="87">
        <v>204.20440950421903</v>
      </c>
      <c r="I29" s="87">
        <v>15.666646050984509</v>
      </c>
      <c r="J29" s="87">
        <v>0</v>
      </c>
      <c r="K29" s="89">
        <v>27724.062477860974</v>
      </c>
      <c r="L29" s="89">
        <v>15005.537076752287</v>
      </c>
      <c r="M29" s="87">
        <v>0</v>
      </c>
      <c r="N29" s="87">
        <v>2.808258430188705</v>
      </c>
      <c r="O29" s="87">
        <v>5.1621855667103693</v>
      </c>
      <c r="P29" s="87">
        <v>23.480713308926273</v>
      </c>
      <c r="Q29" s="87">
        <v>48.867590912386476</v>
      </c>
      <c r="R29" s="87">
        <v>24.181878951600421</v>
      </c>
      <c r="S29" s="87">
        <v>1.0026210362908496</v>
      </c>
      <c r="T29" s="87">
        <v>0</v>
      </c>
      <c r="U29" s="89">
        <v>4872.6818034727294</v>
      </c>
      <c r="V29" s="89">
        <v>2637.3193872151287</v>
      </c>
      <c r="W29" s="89">
        <v>18531.811465032108</v>
      </c>
    </row>
    <row r="30" spans="1:25" x14ac:dyDescent="0.25">
      <c r="A30" s="72">
        <v>37</v>
      </c>
      <c r="B30" s="16">
        <v>34.278190189361503</v>
      </c>
      <c r="C30" s="17">
        <v>0</v>
      </c>
      <c r="D30" s="17">
        <v>0.18667010858256899</v>
      </c>
      <c r="E30" s="17">
        <v>1.0081328022270279</v>
      </c>
      <c r="F30" s="17">
        <v>10.619566090976612</v>
      </c>
      <c r="G30" s="17">
        <v>93.177921030705633</v>
      </c>
      <c r="H30" s="17">
        <v>268.88662732812298</v>
      </c>
      <c r="I30" s="17">
        <v>196.316207723773</v>
      </c>
      <c r="J30" s="17">
        <v>0</v>
      </c>
      <c r="K30" s="76">
        <v>38196.88420578216</v>
      </c>
      <c r="L30" s="76">
        <v>18357.840106861488</v>
      </c>
      <c r="M30" s="17">
        <v>0</v>
      </c>
      <c r="N30" s="17">
        <v>0.18667010858256899</v>
      </c>
      <c r="O30" s="17">
        <v>0.78086024943179488</v>
      </c>
      <c r="P30" s="17">
        <v>7.700171924721178</v>
      </c>
      <c r="Q30" s="17">
        <v>39.700275148148037</v>
      </c>
      <c r="R30" s="17">
        <v>40.424877101210406</v>
      </c>
      <c r="S30" s="17">
        <v>27.626219661870092</v>
      </c>
      <c r="T30" s="17">
        <v>0</v>
      </c>
      <c r="U30" s="76">
        <v>6553.6569160328163</v>
      </c>
      <c r="V30" s="76">
        <v>3149.759156573954</v>
      </c>
      <c r="W30" s="76">
        <v>24521.433882356439</v>
      </c>
    </row>
    <row r="31" spans="1:25" x14ac:dyDescent="0.25">
      <c r="A31" s="97">
        <v>43</v>
      </c>
      <c r="B31" s="86">
        <v>38.556481426239003</v>
      </c>
      <c r="C31" s="87">
        <v>0</v>
      </c>
      <c r="D31" s="87">
        <v>0</v>
      </c>
      <c r="E31" s="87">
        <v>0</v>
      </c>
      <c r="F31" s="87">
        <v>1.3761227707029366</v>
      </c>
      <c r="G31" s="87">
        <v>24.061325159948673</v>
      </c>
      <c r="H31" s="87">
        <v>157.69418305204391</v>
      </c>
      <c r="I31" s="87">
        <v>302.12021825022049</v>
      </c>
      <c r="J31" s="87">
        <v>153.89860318483125</v>
      </c>
      <c r="K31" s="89">
        <v>48104.898112107694</v>
      </c>
      <c r="L31" s="89">
        <v>20529.667396434961</v>
      </c>
      <c r="M31" s="87">
        <v>0</v>
      </c>
      <c r="N31" s="87">
        <v>0</v>
      </c>
      <c r="O31" s="87">
        <v>0</v>
      </c>
      <c r="P31" s="87">
        <v>1.2992327452134182</v>
      </c>
      <c r="Q31" s="87">
        <v>13.896440868399035</v>
      </c>
      <c r="R31" s="87">
        <v>52.171372032512778</v>
      </c>
      <c r="S31" s="87">
        <v>33.778944443918526</v>
      </c>
      <c r="T31" s="87">
        <v>12.407881876218724</v>
      </c>
      <c r="U31" s="89">
        <v>7165.2214476264717</v>
      </c>
      <c r="V31" s="89">
        <v>3057.8926245464731</v>
      </c>
      <c r="W31" s="89">
        <v>29843.020328503866</v>
      </c>
    </row>
    <row r="32" spans="1:25" x14ac:dyDescent="0.25">
      <c r="A32" s="72">
        <v>49</v>
      </c>
      <c r="B32" s="16">
        <v>42.495324291229203</v>
      </c>
      <c r="C32" s="17">
        <v>0</v>
      </c>
      <c r="D32" s="17">
        <v>0</v>
      </c>
      <c r="E32" s="17">
        <v>0</v>
      </c>
      <c r="F32" s="17">
        <v>0</v>
      </c>
      <c r="G32" s="17">
        <v>3.0027447969456618</v>
      </c>
      <c r="H32" s="17">
        <v>43.980464428005867</v>
      </c>
      <c r="I32" s="17">
        <v>233.8878844916149</v>
      </c>
      <c r="J32" s="17">
        <v>423.98333208837283</v>
      </c>
      <c r="K32" s="76">
        <v>57213.550234276961</v>
      </c>
      <c r="L32" s="76">
        <v>21681.557730455577</v>
      </c>
      <c r="M32" s="17">
        <v>0</v>
      </c>
      <c r="N32" s="17">
        <v>0</v>
      </c>
      <c r="O32" s="17">
        <v>0</v>
      </c>
      <c r="P32" s="17">
        <v>0</v>
      </c>
      <c r="Q32" s="17">
        <v>2.1409829455445548</v>
      </c>
      <c r="R32" s="17">
        <v>25.332185252770735</v>
      </c>
      <c r="S32" s="17">
        <v>51.028618144460751</v>
      </c>
      <c r="T32" s="17">
        <v>32.835505880097081</v>
      </c>
      <c r="U32" s="76">
        <v>7738.3827808993965</v>
      </c>
      <c r="V32" s="76">
        <v>2932.5254649888088</v>
      </c>
      <c r="W32" s="76">
        <v>34052.803287070958</v>
      </c>
    </row>
    <row r="33" spans="1:25" x14ac:dyDescent="0.25">
      <c r="A33" s="97">
        <v>55</v>
      </c>
      <c r="B33" s="86">
        <v>46.083975177764799</v>
      </c>
      <c r="C33" s="87">
        <v>0</v>
      </c>
      <c r="D33" s="87">
        <v>0</v>
      </c>
      <c r="E33" s="87">
        <v>0</v>
      </c>
      <c r="F33" s="87">
        <v>0</v>
      </c>
      <c r="G33" s="87">
        <v>0</v>
      </c>
      <c r="H33" s="87">
        <v>8.0653145526349288</v>
      </c>
      <c r="I33" s="87">
        <v>80.261111477760295</v>
      </c>
      <c r="J33" s="87">
        <v>678.44666399644768</v>
      </c>
      <c r="K33" s="89">
        <v>64549.99444995862</v>
      </c>
      <c r="L33" s="89">
        <v>21721.347441049576</v>
      </c>
      <c r="M33" s="87">
        <v>0</v>
      </c>
      <c r="N33" s="87">
        <v>0</v>
      </c>
      <c r="O33" s="87">
        <v>0</v>
      </c>
      <c r="P33" s="87">
        <v>0</v>
      </c>
      <c r="Q33" s="87">
        <v>0</v>
      </c>
      <c r="R33" s="87">
        <v>6.8776595053275686</v>
      </c>
      <c r="S33" s="87">
        <v>34.461982123324916</v>
      </c>
      <c r="T33" s="87">
        <v>66.560102266720122</v>
      </c>
      <c r="U33" s="89">
        <v>7983.4062446232019</v>
      </c>
      <c r="V33" s="89">
        <v>2686.4501272256352</v>
      </c>
      <c r="W33" s="89">
        <v>37025.118462653765</v>
      </c>
    </row>
    <row r="34" spans="1:25" x14ac:dyDescent="0.25">
      <c r="A34" s="72">
        <v>61</v>
      </c>
      <c r="B34" s="16">
        <v>49.371347141265801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10.758260980135489</v>
      </c>
      <c r="J34" s="17">
        <v>815.65502820269671</v>
      </c>
      <c r="K34" s="76">
        <v>70362.977249750213</v>
      </c>
      <c r="L34" s="76">
        <v>21024.889883320466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6.7174030222506751</v>
      </c>
      <c r="T34" s="17">
        <v>100.29169781105486</v>
      </c>
      <c r="U34" s="76">
        <v>8242.8247919143414</v>
      </c>
      <c r="V34" s="76">
        <v>2463.00668833791</v>
      </c>
      <c r="W34" s="76">
        <v>39015.111032150293</v>
      </c>
    </row>
    <row r="35" spans="1:25" x14ac:dyDescent="0.25">
      <c r="A35" s="97">
        <v>67</v>
      </c>
      <c r="B35" s="86">
        <v>52.345558715820303</v>
      </c>
      <c r="C35" s="87">
        <v>0</v>
      </c>
      <c r="D35" s="87">
        <v>0</v>
      </c>
      <c r="E35" s="87">
        <v>0</v>
      </c>
      <c r="F35" s="87">
        <v>0</v>
      </c>
      <c r="G35" s="87">
        <v>0</v>
      </c>
      <c r="H35" s="87">
        <v>0</v>
      </c>
      <c r="I35" s="87">
        <v>0.72489262665908361</v>
      </c>
      <c r="J35" s="87">
        <v>880.99152794599775</v>
      </c>
      <c r="K35" s="89">
        <v>75160.344489649113</v>
      </c>
      <c r="L35" s="89">
        <v>19942.392237102369</v>
      </c>
      <c r="M35" s="87">
        <v>0</v>
      </c>
      <c r="N35" s="87">
        <v>0</v>
      </c>
      <c r="O35" s="87">
        <v>0</v>
      </c>
      <c r="P35" s="87">
        <v>0</v>
      </c>
      <c r="Q35" s="87">
        <v>0</v>
      </c>
      <c r="R35" s="87">
        <v>0</v>
      </c>
      <c r="S35" s="87">
        <v>0.38497043769288869</v>
      </c>
      <c r="T35" s="87">
        <v>103.20042923237618</v>
      </c>
      <c r="U35" s="89">
        <v>8024.9811961477117</v>
      </c>
      <c r="V35" s="89">
        <v>2129.2787279732138</v>
      </c>
      <c r="W35" s="89">
        <v>40395.620074270104</v>
      </c>
    </row>
    <row r="36" spans="1:25" x14ac:dyDescent="0.25">
      <c r="A36" s="72">
        <v>73</v>
      </c>
      <c r="B36" s="16">
        <v>55.144435238057703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0.40528325449384972</v>
      </c>
      <c r="J36" s="17">
        <v>937.04989338817813</v>
      </c>
      <c r="K36" s="76">
        <v>79914.710221938862</v>
      </c>
      <c r="L36" s="76">
        <v>18828.433568184551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0.40528325449384972</v>
      </c>
      <c r="T36" s="17">
        <v>100.76606532198174</v>
      </c>
      <c r="U36" s="76">
        <v>7837.7398902682044</v>
      </c>
      <c r="V36" s="76">
        <v>1846.6232867364156</v>
      </c>
      <c r="W36" s="76">
        <v>41410.940133325501</v>
      </c>
    </row>
    <row r="37" spans="1:25" x14ac:dyDescent="0.25">
      <c r="A37" s="97">
        <v>79</v>
      </c>
      <c r="B37" s="91">
        <v>57.941541464931902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989.97702420671999</v>
      </c>
      <c r="K37" s="94">
        <v>84395.541313622976</v>
      </c>
      <c r="L37" s="94">
        <v>17656.553468061284</v>
      </c>
      <c r="M37" s="92">
        <v>0</v>
      </c>
      <c r="N37" s="92">
        <v>0</v>
      </c>
      <c r="O37" s="92">
        <v>0</v>
      </c>
      <c r="P37" s="92">
        <v>0</v>
      </c>
      <c r="Q37" s="92">
        <v>0</v>
      </c>
      <c r="R37" s="92">
        <v>0</v>
      </c>
      <c r="S37" s="92">
        <v>0</v>
      </c>
      <c r="T37" s="92">
        <v>989.97702420671999</v>
      </c>
      <c r="U37" s="94">
        <v>84395.541313622976</v>
      </c>
      <c r="V37" s="94">
        <v>17656.553468061284</v>
      </c>
      <c r="W37" s="94">
        <v>42085.683319938646</v>
      </c>
    </row>
    <row r="38" spans="1:25" s="6" customFormat="1" x14ac:dyDescent="0.25">
      <c r="A38" s="18" t="s">
        <v>13</v>
      </c>
      <c r="B38" s="19" t="s">
        <v>27</v>
      </c>
      <c r="C38" s="19" t="s">
        <v>27</v>
      </c>
      <c r="D38" s="19" t="s">
        <v>27</v>
      </c>
      <c r="E38" s="19" t="s">
        <v>27</v>
      </c>
      <c r="F38" s="19" t="s">
        <v>27</v>
      </c>
      <c r="G38" s="19" t="s">
        <v>27</v>
      </c>
      <c r="H38" s="19" t="s">
        <v>27</v>
      </c>
      <c r="I38" s="19" t="s">
        <v>27</v>
      </c>
      <c r="J38" s="19" t="s">
        <v>27</v>
      </c>
      <c r="K38" s="19" t="s">
        <v>27</v>
      </c>
      <c r="L38" s="19" t="s">
        <v>27</v>
      </c>
      <c r="M38" s="18">
        <v>15.919217863295366</v>
      </c>
      <c r="N38" s="18">
        <v>71.156907893408871</v>
      </c>
      <c r="O38" s="18">
        <v>41.007193601880225</v>
      </c>
      <c r="P38" s="18">
        <v>85.443437375506889</v>
      </c>
      <c r="Q38" s="18">
        <v>135.85974812075042</v>
      </c>
      <c r="R38" s="18">
        <v>153.63407213240961</v>
      </c>
      <c r="S38" s="18">
        <v>155.4060421243025</v>
      </c>
      <c r="T38" s="18">
        <v>1406.0387065951686</v>
      </c>
      <c r="U38" s="19" t="s">
        <v>27</v>
      </c>
      <c r="V38" s="77">
        <v>42085.683319938646</v>
      </c>
      <c r="W38" s="20" t="s">
        <v>27</v>
      </c>
    </row>
    <row r="39" spans="1:25" x14ac:dyDescent="0.25">
      <c r="A39"/>
      <c r="V39" s="2"/>
    </row>
    <row r="40" spans="1:25" x14ac:dyDescent="0.25">
      <c r="H40" s="8"/>
      <c r="I40" s="8"/>
      <c r="J40" s="8"/>
      <c r="W40" s="8" t="s">
        <v>75</v>
      </c>
    </row>
    <row r="41" spans="1:25" x14ac:dyDescent="0.25">
      <c r="V41" s="2"/>
      <c r="W41" s="8" t="s">
        <v>76</v>
      </c>
      <c r="X41" s="2"/>
      <c r="Y41" s="2"/>
    </row>
    <row r="42" spans="1: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V42" s="2"/>
      <c r="W42" s="8"/>
      <c r="X42" s="2"/>
      <c r="Y42" s="8"/>
    </row>
    <row r="43" spans="1:25" x14ac:dyDescent="0.25">
      <c r="V43" s="2"/>
      <c r="W43" s="2"/>
      <c r="X43" s="2"/>
      <c r="Y43" s="2"/>
    </row>
    <row r="44" spans="1:25" x14ac:dyDescent="0.25"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V45" s="2"/>
      <c r="W45" s="2"/>
      <c r="X45" s="2"/>
      <c r="Y45" s="2"/>
    </row>
    <row r="46" spans="1:25" x14ac:dyDescent="0.25">
      <c r="V46" s="2"/>
      <c r="W46" s="2"/>
      <c r="X46" s="2"/>
      <c r="Y46" s="2"/>
    </row>
  </sheetData>
  <mergeCells count="17">
    <mergeCell ref="A23:A24"/>
    <mergeCell ref="B23:B24"/>
    <mergeCell ref="C23:J23"/>
    <mergeCell ref="K23:L23"/>
    <mergeCell ref="M23:T23"/>
    <mergeCell ref="A6:A7"/>
    <mergeCell ref="B6:B7"/>
    <mergeCell ref="C6:F6"/>
    <mergeCell ref="G6:J6"/>
    <mergeCell ref="K6:N6"/>
    <mergeCell ref="D1:T1"/>
    <mergeCell ref="U6:U7"/>
    <mergeCell ref="V6:V7"/>
    <mergeCell ref="W6:W7"/>
    <mergeCell ref="U23:V23"/>
    <mergeCell ref="W23:W24"/>
    <mergeCell ref="O6:T6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46"/>
  <sheetViews>
    <sheetView tabSelected="1" topLeftCell="A12" workbookViewId="0">
      <selection activeCell="Y22" sqref="Y22"/>
    </sheetView>
  </sheetViews>
  <sheetFormatPr defaultColWidth="11.42578125" defaultRowHeight="15" x14ac:dyDescent="0.25"/>
  <cols>
    <col min="1" max="21" width="6.7109375" style="2" customWidth="1"/>
    <col min="22" max="23" width="6.7109375" customWidth="1"/>
  </cols>
  <sheetData>
    <row r="1" spans="1:27" ht="30.75" customHeight="1" x14ac:dyDescent="0.4">
      <c r="D1" s="135" t="s">
        <v>66</v>
      </c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</row>
    <row r="2" spans="1:27" x14ac:dyDescent="0.25">
      <c r="A2" s="5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U2" s="8"/>
      <c r="V2" s="8"/>
      <c r="W2" s="8"/>
    </row>
    <row r="3" spans="1:27" x14ac:dyDescent="0.25">
      <c r="A3" s="5" t="s">
        <v>78</v>
      </c>
      <c r="B3" s="5"/>
      <c r="C3" s="5"/>
      <c r="D3" s="7"/>
      <c r="E3" s="7" t="s">
        <v>79</v>
      </c>
      <c r="F3" s="7"/>
      <c r="G3" s="7"/>
      <c r="H3" s="7"/>
      <c r="I3" s="7"/>
      <c r="J3" s="7"/>
      <c r="K3" s="7" t="s">
        <v>83</v>
      </c>
      <c r="L3" s="7"/>
      <c r="M3" s="7"/>
      <c r="N3" s="7"/>
      <c r="R3" s="7" t="s">
        <v>82</v>
      </c>
      <c r="V3" s="2"/>
      <c r="W3" s="2"/>
    </row>
    <row r="4" spans="1:27" x14ac:dyDescent="0.25">
      <c r="A4" s="7"/>
      <c r="B4" s="7"/>
      <c r="C4" s="7"/>
      <c r="D4" s="7"/>
      <c r="E4" s="7" t="s">
        <v>28</v>
      </c>
      <c r="F4" s="7"/>
      <c r="G4" s="7"/>
      <c r="H4" s="7"/>
      <c r="I4" s="7"/>
      <c r="J4" s="7"/>
      <c r="K4" s="7" t="s">
        <v>80</v>
      </c>
      <c r="L4" s="7"/>
      <c r="M4" s="7"/>
      <c r="N4" s="7"/>
      <c r="O4" s="1"/>
      <c r="P4" s="1"/>
      <c r="Q4" s="1"/>
      <c r="R4" s="7" t="s">
        <v>81</v>
      </c>
      <c r="S4" s="1"/>
      <c r="T4" s="1"/>
      <c r="U4" s="1"/>
      <c r="V4" s="1"/>
      <c r="W4" s="7"/>
    </row>
    <row r="5" spans="1:27" x14ac:dyDescent="0.25">
      <c r="A5" s="5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7" x14ac:dyDescent="0.25">
      <c r="A6" s="151" t="s">
        <v>1</v>
      </c>
      <c r="B6" s="151" t="s">
        <v>2</v>
      </c>
      <c r="C6" s="153" t="s">
        <v>104</v>
      </c>
      <c r="D6" s="154"/>
      <c r="E6" s="154"/>
      <c r="F6" s="154"/>
      <c r="G6" s="154" t="s">
        <v>102</v>
      </c>
      <c r="H6" s="154"/>
      <c r="I6" s="154"/>
      <c r="J6" s="154"/>
      <c r="K6" s="154" t="s">
        <v>103</v>
      </c>
      <c r="L6" s="154"/>
      <c r="M6" s="154"/>
      <c r="N6" s="154"/>
      <c r="O6" s="148" t="s">
        <v>3</v>
      </c>
      <c r="P6" s="149"/>
      <c r="Q6" s="149"/>
      <c r="R6" s="149"/>
      <c r="S6" s="149"/>
      <c r="T6" s="150"/>
      <c r="U6" s="141" t="s">
        <v>14</v>
      </c>
      <c r="V6" s="143" t="s">
        <v>63</v>
      </c>
      <c r="W6" s="141" t="s">
        <v>29</v>
      </c>
    </row>
    <row r="7" spans="1:27" x14ac:dyDescent="0.25">
      <c r="A7" s="152"/>
      <c r="B7" s="152"/>
      <c r="C7" s="74" t="s">
        <v>4</v>
      </c>
      <c r="D7" s="74" t="s">
        <v>5</v>
      </c>
      <c r="E7" s="74" t="s">
        <v>6</v>
      </c>
      <c r="F7" s="74" t="s">
        <v>7</v>
      </c>
      <c r="G7" s="74" t="s">
        <v>4</v>
      </c>
      <c r="H7" s="74" t="s">
        <v>5</v>
      </c>
      <c r="I7" s="74" t="s">
        <v>6</v>
      </c>
      <c r="J7" s="74" t="s">
        <v>7</v>
      </c>
      <c r="K7" s="74" t="s">
        <v>4</v>
      </c>
      <c r="L7" s="74" t="s">
        <v>5</v>
      </c>
      <c r="M7" s="74" t="s">
        <v>6</v>
      </c>
      <c r="N7" s="74" t="s">
        <v>7</v>
      </c>
      <c r="O7" s="73" t="s">
        <v>16</v>
      </c>
      <c r="P7" s="74" t="s">
        <v>8</v>
      </c>
      <c r="Q7" s="74" t="s">
        <v>9</v>
      </c>
      <c r="R7" s="74" t="s">
        <v>10</v>
      </c>
      <c r="S7" s="74" t="s">
        <v>11</v>
      </c>
      <c r="T7" s="74" t="s">
        <v>12</v>
      </c>
      <c r="U7" s="142"/>
      <c r="V7" s="144"/>
      <c r="W7" s="145"/>
    </row>
    <row r="8" spans="1:27" s="78" customFormat="1" ht="12" customHeight="1" x14ac:dyDescent="0.2">
      <c r="A8" s="81" t="s">
        <v>60</v>
      </c>
      <c r="B8" s="81" t="s">
        <v>58</v>
      </c>
      <c r="C8" s="81" t="s">
        <v>59</v>
      </c>
      <c r="D8" s="81" t="s">
        <v>54</v>
      </c>
      <c r="E8" s="81" t="s">
        <v>53</v>
      </c>
      <c r="F8" s="81" t="s">
        <v>57</v>
      </c>
      <c r="G8" s="81" t="s">
        <v>59</v>
      </c>
      <c r="H8" s="81" t="s">
        <v>54</v>
      </c>
      <c r="I8" s="81" t="s">
        <v>53</v>
      </c>
      <c r="J8" s="81" t="s">
        <v>57</v>
      </c>
      <c r="K8" s="81" t="s">
        <v>59</v>
      </c>
      <c r="L8" s="81" t="s">
        <v>54</v>
      </c>
      <c r="M8" s="81" t="s">
        <v>53</v>
      </c>
      <c r="N8" s="81" t="s">
        <v>57</v>
      </c>
      <c r="O8" s="81" t="s">
        <v>55</v>
      </c>
      <c r="P8" s="81" t="s">
        <v>52</v>
      </c>
      <c r="Q8" s="81" t="s">
        <v>52</v>
      </c>
      <c r="R8" s="81" t="s">
        <v>56</v>
      </c>
      <c r="S8" s="81" t="s">
        <v>56</v>
      </c>
      <c r="T8" s="81" t="s">
        <v>57</v>
      </c>
      <c r="U8" s="79"/>
      <c r="V8" s="80" t="s">
        <v>62</v>
      </c>
      <c r="W8" s="81" t="s">
        <v>58</v>
      </c>
    </row>
    <row r="9" spans="1:27" x14ac:dyDescent="0.25">
      <c r="A9" s="14">
        <v>15</v>
      </c>
      <c r="B9" s="11">
        <v>13.523097554206799</v>
      </c>
      <c r="C9" s="10">
        <v>1613.29</v>
      </c>
      <c r="D9" s="10">
        <v>45.696771840962029</v>
      </c>
      <c r="E9" s="11">
        <v>26.808568241818037</v>
      </c>
      <c r="F9" s="10">
        <v>150.29544703747223</v>
      </c>
      <c r="G9" s="10">
        <v>526.62999999999988</v>
      </c>
      <c r="H9" s="10">
        <v>44.222037048234469</v>
      </c>
      <c r="I9" s="11">
        <v>8.195457824093058</v>
      </c>
      <c r="J9" s="10">
        <v>45.497662077685433</v>
      </c>
      <c r="K9" s="10">
        <v>1086.6600000000001</v>
      </c>
      <c r="L9" s="10">
        <v>46.394614278674347</v>
      </c>
      <c r="M9" s="11">
        <v>18.613110417724979</v>
      </c>
      <c r="N9" s="10">
        <v>104.7977849597868</v>
      </c>
      <c r="O9" s="11">
        <v>2.7382529542256271</v>
      </c>
      <c r="P9" s="12">
        <v>2.5498786307672252</v>
      </c>
      <c r="Q9" s="12">
        <v>1.7872378827878692</v>
      </c>
      <c r="R9" s="11">
        <v>26.07719804290906</v>
      </c>
      <c r="S9" s="11">
        <v>10.019696469164815</v>
      </c>
      <c r="T9" s="75">
        <v>150.29544703747223</v>
      </c>
      <c r="U9" s="10">
        <v>91.57111141152933</v>
      </c>
      <c r="V9" s="11">
        <v>32.64323215292972</v>
      </c>
      <c r="W9" s="16">
        <v>3.2597766434386628</v>
      </c>
      <c r="Y9" s="9"/>
      <c r="Z9" s="9"/>
      <c r="AA9" s="9"/>
    </row>
    <row r="10" spans="1:27" x14ac:dyDescent="0.25">
      <c r="A10" s="85">
        <v>21</v>
      </c>
      <c r="B10" s="86">
        <v>18.672500587463301</v>
      </c>
      <c r="C10" s="87">
        <v>1079.73</v>
      </c>
      <c r="D10" s="87">
        <v>62.824132004028108</v>
      </c>
      <c r="E10" s="86">
        <v>33.912382202328331</v>
      </c>
      <c r="F10" s="87">
        <v>261.26097321724114</v>
      </c>
      <c r="G10" s="87">
        <v>391.5</v>
      </c>
      <c r="H10" s="87">
        <v>54.78717988654661</v>
      </c>
      <c r="I10" s="86">
        <v>9.3514680559095282</v>
      </c>
      <c r="J10" s="87">
        <v>69.212087543983529</v>
      </c>
      <c r="K10" s="87">
        <v>688.23</v>
      </c>
      <c r="L10" s="87">
        <v>66.966930910261979</v>
      </c>
      <c r="M10" s="86">
        <v>24.560914146418803</v>
      </c>
      <c r="N10" s="87">
        <v>192.04888567325762</v>
      </c>
      <c r="O10" s="86">
        <v>2.7549291649081034</v>
      </c>
      <c r="P10" s="88">
        <v>2.2327572242633997</v>
      </c>
      <c r="Q10" s="88">
        <v>2.0051352393533994</v>
      </c>
      <c r="R10" s="86">
        <v>27.816985673387105</v>
      </c>
      <c r="S10" s="86">
        <v>14.607554061663171</v>
      </c>
      <c r="T10" s="89">
        <v>306.75863529492659</v>
      </c>
      <c r="U10" s="87">
        <v>87.597549824008084</v>
      </c>
      <c r="V10" s="86">
        <v>36.25906476619155</v>
      </c>
      <c r="W10" s="86">
        <v>4.0960748516746328</v>
      </c>
    </row>
    <row r="11" spans="1:27" x14ac:dyDescent="0.25">
      <c r="A11" s="15">
        <v>27</v>
      </c>
      <c r="B11" s="16">
        <v>23.5807452487945</v>
      </c>
      <c r="C11" s="17">
        <v>684.18000000000006</v>
      </c>
      <c r="D11" s="17">
        <v>83.496505899710598</v>
      </c>
      <c r="E11" s="16">
        <v>37.9574574919992</v>
      </c>
      <c r="F11" s="17">
        <v>358.95079971358024</v>
      </c>
      <c r="G11" s="17">
        <v>206.0100000000001</v>
      </c>
      <c r="H11" s="17">
        <v>71.754960460480632</v>
      </c>
      <c r="I11" s="16">
        <v>8.4407744808403216</v>
      </c>
      <c r="J11" s="17">
        <v>77.891975918948731</v>
      </c>
      <c r="K11" s="17">
        <v>478.16999999999996</v>
      </c>
      <c r="L11" s="17">
        <v>88.073964331728988</v>
      </c>
      <c r="M11" s="16">
        <v>29.516683011158879</v>
      </c>
      <c r="N11" s="17">
        <v>281.05882379463151</v>
      </c>
      <c r="O11" s="16">
        <v>2.765290463320691</v>
      </c>
      <c r="P11" s="13">
        <v>1.9901547577527914</v>
      </c>
      <c r="Q11" s="13">
        <v>2.0557179026667325</v>
      </c>
      <c r="R11" s="16">
        <v>28.587249487761898</v>
      </c>
      <c r="S11" s="16">
        <v>17.542983308712934</v>
      </c>
      <c r="T11" s="76">
        <v>473.66054933524919</v>
      </c>
      <c r="U11" s="17">
        <v>84.112366920103796</v>
      </c>
      <c r="V11" s="16">
        <v>30.110497237569074</v>
      </c>
      <c r="W11" s="16">
        <v>4.9140946991102279</v>
      </c>
    </row>
    <row r="12" spans="1:27" x14ac:dyDescent="0.25">
      <c r="A12" s="85">
        <v>33</v>
      </c>
      <c r="B12" s="86">
        <v>28.157502468109101</v>
      </c>
      <c r="C12" s="87">
        <v>475.56</v>
      </c>
      <c r="D12" s="87">
        <v>104.66570711165313</v>
      </c>
      <c r="E12" s="86">
        <v>41.457611557675627</v>
      </c>
      <c r="F12" s="87">
        <v>452.5823207212029</v>
      </c>
      <c r="G12" s="87">
        <v>133.56</v>
      </c>
      <c r="H12" s="87">
        <v>90.419861039301281</v>
      </c>
      <c r="I12" s="86">
        <v>8.6894885817104424</v>
      </c>
      <c r="J12" s="87">
        <v>93.49036789161056</v>
      </c>
      <c r="K12" s="87">
        <v>342</v>
      </c>
      <c r="L12" s="87">
        <v>109.72805001735165</v>
      </c>
      <c r="M12" s="86">
        <v>32.768122975965184</v>
      </c>
      <c r="N12" s="87">
        <v>359.09195282959234</v>
      </c>
      <c r="O12" s="86">
        <v>2.8313809547982558</v>
      </c>
      <c r="P12" s="88">
        <v>1.7817297866470045</v>
      </c>
      <c r="Q12" s="88">
        <v>2.0437973308641983</v>
      </c>
      <c r="R12" s="86">
        <v>28.432643310515544</v>
      </c>
      <c r="S12" s="86">
        <v>19.551031704903657</v>
      </c>
      <c r="T12" s="89">
        <v>645.18404626182064</v>
      </c>
      <c r="U12" s="87">
        <v>80.616946061886324</v>
      </c>
      <c r="V12" s="86">
        <v>28.084784254352762</v>
      </c>
      <c r="W12" s="86">
        <v>5.8106087148267198</v>
      </c>
    </row>
    <row r="13" spans="1:27" x14ac:dyDescent="0.25">
      <c r="A13" s="15">
        <v>39</v>
      </c>
      <c r="B13" s="16">
        <v>32.385358636855997</v>
      </c>
      <c r="C13" s="17">
        <v>340.11</v>
      </c>
      <c r="D13" s="17">
        <v>126.71633574614118</v>
      </c>
      <c r="E13" s="16">
        <v>43.458501695847211</v>
      </c>
      <c r="F13" s="17">
        <v>529.68781269268561</v>
      </c>
      <c r="G13" s="17">
        <v>87.750000000000028</v>
      </c>
      <c r="H13" s="17">
        <v>110.39724161735411</v>
      </c>
      <c r="I13" s="16">
        <v>8.5104731451274205</v>
      </c>
      <c r="J13" s="17">
        <v>102.69423217287272</v>
      </c>
      <c r="K13" s="17">
        <v>252.35999999999999</v>
      </c>
      <c r="L13" s="17">
        <v>131.91859389360428</v>
      </c>
      <c r="M13" s="16">
        <v>34.948028550719791</v>
      </c>
      <c r="N13" s="17">
        <v>426.99358051981289</v>
      </c>
      <c r="O13" s="16">
        <v>2.8891085294158074</v>
      </c>
      <c r="P13" s="13">
        <v>1.6020972239558102</v>
      </c>
      <c r="Q13" s="13">
        <v>2.0034792471384759</v>
      </c>
      <c r="R13" s="16">
        <v>27.747191123713645</v>
      </c>
      <c r="S13" s="16">
        <v>20.917433490382408</v>
      </c>
      <c r="T13" s="76">
        <v>815.77990612491385</v>
      </c>
      <c r="U13" s="17">
        <v>77.124537015210123</v>
      </c>
      <c r="V13" s="16">
        <v>25.800476316485852</v>
      </c>
      <c r="W13" s="16">
        <v>6.764324363988929</v>
      </c>
      <c r="Y13" s="9"/>
      <c r="AA13" s="9"/>
    </row>
    <row r="14" spans="1:27" x14ac:dyDescent="0.25">
      <c r="A14" s="85">
        <v>45</v>
      </c>
      <c r="B14" s="86">
        <v>36.280409904479903</v>
      </c>
      <c r="C14" s="87">
        <v>251.37</v>
      </c>
      <c r="D14" s="87">
        <v>149.25324507009913</v>
      </c>
      <c r="E14" s="86">
        <v>44.560611894454652</v>
      </c>
      <c r="F14" s="87">
        <v>593.47672726209476</v>
      </c>
      <c r="G14" s="87">
        <v>54.27000000000001</v>
      </c>
      <c r="H14" s="87">
        <v>133.81679357694046</v>
      </c>
      <c r="I14" s="86">
        <v>7.7334128620139708</v>
      </c>
      <c r="J14" s="87">
        <v>102.92527571985534</v>
      </c>
      <c r="K14" s="87">
        <v>197.1</v>
      </c>
      <c r="L14" s="87">
        <v>153.23076308124502</v>
      </c>
      <c r="M14" s="86">
        <v>36.827199032440681</v>
      </c>
      <c r="N14" s="87">
        <v>490.55145154223942</v>
      </c>
      <c r="O14" s="86">
        <v>2.9154714458776518</v>
      </c>
      <c r="P14" s="88">
        <v>1.4535569851018799</v>
      </c>
      <c r="Q14" s="88">
        <v>1.9499616440474541</v>
      </c>
      <c r="R14" s="86">
        <v>26.906201916805191</v>
      </c>
      <c r="S14" s="86">
        <v>21.828067841493237</v>
      </c>
      <c r="T14" s="89">
        <v>982.26305286719571</v>
      </c>
      <c r="U14" s="87">
        <v>74.383411616052328</v>
      </c>
      <c r="V14" s="86">
        <v>21.589688506981744</v>
      </c>
      <c r="W14" s="86">
        <v>7.6540513586515262</v>
      </c>
      <c r="Y14" s="9"/>
    </row>
    <row r="15" spans="1:27" x14ac:dyDescent="0.25">
      <c r="A15" s="15">
        <v>51</v>
      </c>
      <c r="B15" s="16">
        <v>39.820657928466701</v>
      </c>
      <c r="C15" s="17">
        <v>196.38</v>
      </c>
      <c r="D15" s="17">
        <v>170.72359175651093</v>
      </c>
      <c r="E15" s="16">
        <v>45.548540943051961</v>
      </c>
      <c r="F15" s="17">
        <v>651.98866304307057</v>
      </c>
      <c r="G15" s="17">
        <v>37.259999999999991</v>
      </c>
      <c r="H15" s="17">
        <v>153.82522771059973</v>
      </c>
      <c r="I15" s="16">
        <v>7.0159764056097558</v>
      </c>
      <c r="J15" s="17">
        <v>100.38023878298759</v>
      </c>
      <c r="K15" s="17">
        <v>159.12</v>
      </c>
      <c r="L15" s="17">
        <v>174.44418786373382</v>
      </c>
      <c r="M15" s="16">
        <v>38.532564537442205</v>
      </c>
      <c r="N15" s="17">
        <v>551.60842426008298</v>
      </c>
      <c r="O15" s="16">
        <v>2.9072118059913095</v>
      </c>
      <c r="P15" s="13">
        <v>1.3353613075385091</v>
      </c>
      <c r="Q15" s="13">
        <v>1.8915610959362099</v>
      </c>
      <c r="R15" s="16">
        <v>26.123626739490607</v>
      </c>
      <c r="S15" s="16">
        <v>22.425495379765234</v>
      </c>
      <c r="T15" s="76">
        <v>1143.7002643680269</v>
      </c>
      <c r="U15" s="17">
        <v>71.713645459431746</v>
      </c>
      <c r="V15" s="16">
        <v>18.973418881759848</v>
      </c>
      <c r="W15" s="16">
        <v>8.5186798940893418</v>
      </c>
      <c r="Y15" s="9"/>
    </row>
    <row r="16" spans="1:27" x14ac:dyDescent="0.25">
      <c r="A16" s="85">
        <v>57</v>
      </c>
      <c r="B16" s="86">
        <v>43.0895602226257</v>
      </c>
      <c r="C16" s="87">
        <v>158.85</v>
      </c>
      <c r="D16" s="87">
        <v>191.88745869968167</v>
      </c>
      <c r="E16" s="86">
        <v>46.54473238267326</v>
      </c>
      <c r="F16" s="87">
        <v>708.35018469702663</v>
      </c>
      <c r="G16" s="87">
        <v>26.370000000000005</v>
      </c>
      <c r="H16" s="87">
        <v>175.81718179389838</v>
      </c>
      <c r="I16" s="86">
        <v>6.4866862827871188</v>
      </c>
      <c r="J16" s="87">
        <v>99.087634881896406</v>
      </c>
      <c r="K16" s="87">
        <v>132.47999999999999</v>
      </c>
      <c r="L16" s="87">
        <v>194.92819139904452</v>
      </c>
      <c r="M16" s="86">
        <v>40.058046099886141</v>
      </c>
      <c r="N16" s="87">
        <v>609.26254981513023</v>
      </c>
      <c r="O16" s="86">
        <v>2.8896691018293126</v>
      </c>
      <c r="P16" s="88">
        <v>1.235103428683485</v>
      </c>
      <c r="Q16" s="88">
        <v>1.8330137497890833</v>
      </c>
      <c r="R16" s="86">
        <v>25.321769659958097</v>
      </c>
      <c r="S16" s="86">
        <v>22.814772364999484</v>
      </c>
      <c r="T16" s="89">
        <v>1300.4420248049705</v>
      </c>
      <c r="U16" s="87">
        <v>69.446007204106962</v>
      </c>
      <c r="V16" s="86">
        <v>16.600566572237963</v>
      </c>
      <c r="W16" s="86">
        <v>9.3359716540640267</v>
      </c>
      <c r="Y16" s="9"/>
    </row>
    <row r="17" spans="1:25" x14ac:dyDescent="0.25">
      <c r="A17" s="15">
        <v>63</v>
      </c>
      <c r="B17" s="16">
        <v>46.081127902984598</v>
      </c>
      <c r="C17" s="17">
        <v>132.38999999999999</v>
      </c>
      <c r="D17" s="17">
        <v>212.2662060100204</v>
      </c>
      <c r="E17" s="16">
        <v>47.468666671987052</v>
      </c>
      <c r="F17" s="17">
        <v>761.19316777487882</v>
      </c>
      <c r="G17" s="17">
        <v>20.249999999999986</v>
      </c>
      <c r="H17" s="17">
        <v>192.19177074404291</v>
      </c>
      <c r="I17" s="16">
        <v>5.9522990127741906</v>
      </c>
      <c r="J17" s="17">
        <v>95.54487852389309</v>
      </c>
      <c r="K17" s="17">
        <v>112.14</v>
      </c>
      <c r="L17" s="17">
        <v>215.69214568282732</v>
      </c>
      <c r="M17" s="16">
        <v>41.516367659212861</v>
      </c>
      <c r="N17" s="17">
        <v>665.64828925098573</v>
      </c>
      <c r="O17" s="16">
        <v>2.8794481909355008</v>
      </c>
      <c r="P17" s="13">
        <v>1.1528644772981853</v>
      </c>
      <c r="Q17" s="13">
        <v>1.7760699096837882</v>
      </c>
      <c r="R17" s="16">
        <v>24.622976592429762</v>
      </c>
      <c r="S17" s="16">
        <v>23.0535340121384</v>
      </c>
      <c r="T17" s="76">
        <v>1452.3726427647191</v>
      </c>
      <c r="U17" s="17">
        <v>67.117943692779534</v>
      </c>
      <c r="V17" s="16">
        <v>15.295717199184219</v>
      </c>
      <c r="W17" s="16">
        <v>10.147391310936458</v>
      </c>
      <c r="Y17" s="9"/>
    </row>
    <row r="18" spans="1:25" x14ac:dyDescent="0.25">
      <c r="A18" s="85">
        <v>69</v>
      </c>
      <c r="B18" s="86">
        <v>48.871113029479901</v>
      </c>
      <c r="C18" s="87">
        <v>112.14</v>
      </c>
      <c r="D18" s="87">
        <v>232.96883482844032</v>
      </c>
      <c r="E18" s="86">
        <v>48.433554523001973</v>
      </c>
      <c r="F18" s="87">
        <v>813.38614880556429</v>
      </c>
      <c r="G18" s="87">
        <v>15.120000000000005</v>
      </c>
      <c r="H18" s="87">
        <v>216.90439960726599</v>
      </c>
      <c r="I18" s="86">
        <v>5.6608109261894697</v>
      </c>
      <c r="J18" s="87">
        <v>95.873391537223597</v>
      </c>
      <c r="K18" s="87">
        <v>97.02</v>
      </c>
      <c r="L18" s="87">
        <v>235.37365484134565</v>
      </c>
      <c r="M18" s="86">
        <v>42.772743596812504</v>
      </c>
      <c r="N18" s="87">
        <v>717.51275726834069</v>
      </c>
      <c r="O18" s="86">
        <v>2.8659577832210297</v>
      </c>
      <c r="P18" s="88">
        <v>1.0796682675347995</v>
      </c>
      <c r="Q18" s="88">
        <v>1.7218781329546053</v>
      </c>
      <c r="R18" s="86">
        <v>23.890180223514317</v>
      </c>
      <c r="S18" s="86">
        <v>23.190007279989821</v>
      </c>
      <c r="T18" s="89">
        <v>1600.1105023192977</v>
      </c>
      <c r="U18" s="87">
        <v>65.229530369343991</v>
      </c>
      <c r="V18" s="86">
        <v>13.483146067415735</v>
      </c>
      <c r="W18" s="86">
        <v>10.909479963760885</v>
      </c>
      <c r="Y18" s="9"/>
    </row>
    <row r="19" spans="1:25" x14ac:dyDescent="0.25">
      <c r="A19" s="15">
        <v>75</v>
      </c>
      <c r="B19" s="16">
        <v>51.411813613891603</v>
      </c>
      <c r="C19" s="17">
        <v>97.02</v>
      </c>
      <c r="D19" s="17">
        <v>252.56940154067183</v>
      </c>
      <c r="E19" s="16">
        <v>49.250753202021301</v>
      </c>
      <c r="F19" s="17">
        <v>860.85383860942659</v>
      </c>
      <c r="G19" s="17">
        <v>12.149999999999991</v>
      </c>
      <c r="H19" s="17">
        <v>232.14325795068308</v>
      </c>
      <c r="I19" s="16">
        <v>5.210489969371892</v>
      </c>
      <c r="J19" s="17">
        <v>90.737585336751295</v>
      </c>
      <c r="K19" s="17">
        <v>84.87</v>
      </c>
      <c r="L19" s="17">
        <v>255.35994961799778</v>
      </c>
      <c r="M19" s="16">
        <v>44.040263232649409</v>
      </c>
      <c r="N19" s="17">
        <v>770.11625327267529</v>
      </c>
      <c r="O19" s="16">
        <v>2.8586678601153372</v>
      </c>
      <c r="P19" s="13">
        <v>1.0191464272592097</v>
      </c>
      <c r="Q19" s="13">
        <v>1.670501343721021</v>
      </c>
      <c r="R19" s="16">
        <v>23.307013732441799</v>
      </c>
      <c r="S19" s="16">
        <v>23.246021115471784</v>
      </c>
      <c r="T19" s="76">
        <v>1743.4515836603837</v>
      </c>
      <c r="U19" s="17">
        <v>63.249924742993443</v>
      </c>
      <c r="V19" s="16">
        <v>12.523191094619657</v>
      </c>
      <c r="W19" s="16">
        <v>11.664270512804567</v>
      </c>
      <c r="Y19" s="9"/>
    </row>
    <row r="20" spans="1:25" x14ac:dyDescent="0.25">
      <c r="A20" s="90">
        <v>81</v>
      </c>
      <c r="B20" s="91">
        <v>53.8864850421472</v>
      </c>
      <c r="C20" s="92">
        <v>84.87</v>
      </c>
      <c r="D20" s="92">
        <v>272.51195677868981</v>
      </c>
      <c r="E20" s="91">
        <v>50.155141796204667</v>
      </c>
      <c r="F20" s="92">
        <v>909.95833566732608</v>
      </c>
      <c r="G20" s="92">
        <v>84.87</v>
      </c>
      <c r="H20" s="92">
        <v>272.51195677868981</v>
      </c>
      <c r="I20" s="91">
        <v>50.155141796204667</v>
      </c>
      <c r="J20" s="92">
        <v>909.95833566732608</v>
      </c>
      <c r="K20" s="92" t="s">
        <v>27</v>
      </c>
      <c r="L20" s="92" t="s">
        <v>27</v>
      </c>
      <c r="M20" s="91" t="s">
        <v>27</v>
      </c>
      <c r="N20" s="92" t="s">
        <v>27</v>
      </c>
      <c r="O20" s="91" t="s">
        <v>27</v>
      </c>
      <c r="P20" s="93" t="s">
        <v>27</v>
      </c>
      <c r="Q20" s="93">
        <v>1.6222528313905165</v>
      </c>
      <c r="R20" s="91" t="s">
        <v>27</v>
      </c>
      <c r="S20" s="91">
        <v>23.250539087099192</v>
      </c>
      <c r="T20" s="94">
        <v>1883.2936660550345</v>
      </c>
      <c r="U20" s="92">
        <v>62.121819364303278</v>
      </c>
      <c r="V20" s="95" t="s">
        <v>27</v>
      </c>
      <c r="W20" s="96" t="s">
        <v>27</v>
      </c>
    </row>
    <row r="22" spans="1:25" x14ac:dyDescent="0.25">
      <c r="A22" s="5" t="s">
        <v>30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5" ht="15" customHeight="1" x14ac:dyDescent="0.25">
      <c r="A23" s="141" t="s">
        <v>1</v>
      </c>
      <c r="B23" s="141" t="s">
        <v>2</v>
      </c>
      <c r="C23" s="146" t="s">
        <v>31</v>
      </c>
      <c r="D23" s="155"/>
      <c r="E23" s="155"/>
      <c r="F23" s="155"/>
      <c r="G23" s="155"/>
      <c r="H23" s="155"/>
      <c r="I23" s="155"/>
      <c r="J23" s="147"/>
      <c r="K23" s="146" t="s">
        <v>109</v>
      </c>
      <c r="L23" s="147"/>
      <c r="M23" s="146" t="s">
        <v>32</v>
      </c>
      <c r="N23" s="155"/>
      <c r="O23" s="155"/>
      <c r="P23" s="155"/>
      <c r="Q23" s="155"/>
      <c r="R23" s="155"/>
      <c r="S23" s="155"/>
      <c r="T23" s="147"/>
      <c r="U23" s="146" t="s">
        <v>110</v>
      </c>
      <c r="V23" s="147"/>
      <c r="W23" s="143" t="s">
        <v>107</v>
      </c>
    </row>
    <row r="24" spans="1:25" x14ac:dyDescent="0.25">
      <c r="A24" s="145"/>
      <c r="B24" s="145"/>
      <c r="C24" s="82" t="s">
        <v>19</v>
      </c>
      <c r="D24" s="82" t="s">
        <v>20</v>
      </c>
      <c r="E24" s="82" t="s">
        <v>21</v>
      </c>
      <c r="F24" s="82" t="s">
        <v>22</v>
      </c>
      <c r="G24" s="82" t="s">
        <v>23</v>
      </c>
      <c r="H24" s="82" t="s">
        <v>24</v>
      </c>
      <c r="I24" s="82" t="s">
        <v>25</v>
      </c>
      <c r="J24" s="82" t="s">
        <v>26</v>
      </c>
      <c r="K24" s="98" t="s">
        <v>109</v>
      </c>
      <c r="L24" s="98" t="s">
        <v>106</v>
      </c>
      <c r="M24" s="82" t="s">
        <v>19</v>
      </c>
      <c r="N24" s="82" t="s">
        <v>20</v>
      </c>
      <c r="O24" s="82" t="s">
        <v>21</v>
      </c>
      <c r="P24" s="82" t="s">
        <v>22</v>
      </c>
      <c r="Q24" s="82" t="s">
        <v>23</v>
      </c>
      <c r="R24" s="82" t="s">
        <v>24</v>
      </c>
      <c r="S24" s="82" t="s">
        <v>25</v>
      </c>
      <c r="T24" s="82" t="s">
        <v>26</v>
      </c>
      <c r="U24" s="98" t="s">
        <v>110</v>
      </c>
      <c r="V24" s="98" t="s">
        <v>106</v>
      </c>
      <c r="W24" s="144"/>
    </row>
    <row r="25" spans="1:25" s="78" customFormat="1" ht="12" x14ac:dyDescent="0.2">
      <c r="A25" s="81" t="s">
        <v>60</v>
      </c>
      <c r="B25" s="81" t="s">
        <v>58</v>
      </c>
      <c r="C25" s="81" t="s">
        <v>57</v>
      </c>
      <c r="D25" s="81" t="s">
        <v>57</v>
      </c>
      <c r="E25" s="81" t="s">
        <v>57</v>
      </c>
      <c r="F25" s="81" t="s">
        <v>57</v>
      </c>
      <c r="G25" s="81" t="s">
        <v>57</v>
      </c>
      <c r="H25" s="81" t="s">
        <v>57</v>
      </c>
      <c r="I25" s="81" t="s">
        <v>57</v>
      </c>
      <c r="J25" s="81" t="s">
        <v>57</v>
      </c>
      <c r="K25" s="81" t="s">
        <v>64</v>
      </c>
      <c r="L25" s="81" t="s">
        <v>64</v>
      </c>
      <c r="M25" s="81" t="s">
        <v>57</v>
      </c>
      <c r="N25" s="81" t="s">
        <v>57</v>
      </c>
      <c r="O25" s="81" t="s">
        <v>57</v>
      </c>
      <c r="P25" s="81" t="s">
        <v>57</v>
      </c>
      <c r="Q25" s="81" t="s">
        <v>57</v>
      </c>
      <c r="R25" s="81" t="s">
        <v>57</v>
      </c>
      <c r="S25" s="81" t="s">
        <v>57</v>
      </c>
      <c r="T25" s="81" t="s">
        <v>57</v>
      </c>
      <c r="U25" s="81" t="s">
        <v>64</v>
      </c>
      <c r="V25" s="81" t="s">
        <v>64</v>
      </c>
      <c r="W25" s="81" t="s">
        <v>64</v>
      </c>
    </row>
    <row r="26" spans="1:25" x14ac:dyDescent="0.25">
      <c r="A26" s="72">
        <v>15</v>
      </c>
      <c r="B26" s="16">
        <v>13.523097554206799</v>
      </c>
      <c r="C26" s="17">
        <v>28.602416194287414</v>
      </c>
      <c r="D26" s="17">
        <v>89.732236957104107</v>
      </c>
      <c r="E26" s="17">
        <v>26.336632600255399</v>
      </c>
      <c r="F26" s="17">
        <v>5.2458339918003105</v>
      </c>
      <c r="G26" s="17">
        <v>0</v>
      </c>
      <c r="H26" s="17">
        <v>0</v>
      </c>
      <c r="I26" s="17">
        <v>0</v>
      </c>
      <c r="J26" s="17">
        <v>0</v>
      </c>
      <c r="K26" s="76">
        <v>2213.9234283267815</v>
      </c>
      <c r="L26" s="76">
        <v>1644.9777183134804</v>
      </c>
      <c r="M26" s="17">
        <v>10.457777899978403</v>
      </c>
      <c r="N26" s="17">
        <v>25.350963845173514</v>
      </c>
      <c r="O26" s="17">
        <v>7.792133247286638</v>
      </c>
      <c r="P26" s="17">
        <v>1.5184597912218252</v>
      </c>
      <c r="Q26" s="17">
        <v>0</v>
      </c>
      <c r="R26" s="17">
        <v>0</v>
      </c>
      <c r="S26" s="17">
        <v>0</v>
      </c>
      <c r="T26" s="17">
        <v>0</v>
      </c>
      <c r="U26" s="76">
        <v>588.76569587674499</v>
      </c>
      <c r="V26" s="76">
        <v>437.46158454836234</v>
      </c>
      <c r="W26" s="76">
        <v>1644.9777183134804</v>
      </c>
    </row>
    <row r="27" spans="1:25" x14ac:dyDescent="0.25">
      <c r="A27" s="97">
        <v>21</v>
      </c>
      <c r="B27" s="86">
        <v>18.672500587463301</v>
      </c>
      <c r="C27" s="87">
        <v>6.9752345053815761</v>
      </c>
      <c r="D27" s="87">
        <v>68.751641457757955</v>
      </c>
      <c r="E27" s="87">
        <v>59.874877217066299</v>
      </c>
      <c r="F27" s="87">
        <v>101.08140333023394</v>
      </c>
      <c r="G27" s="87">
        <v>24.200646535158928</v>
      </c>
      <c r="H27" s="87">
        <v>0</v>
      </c>
      <c r="I27" s="87">
        <v>0</v>
      </c>
      <c r="J27" s="87">
        <v>0</v>
      </c>
      <c r="K27" s="89">
        <v>7861.8803369785937</v>
      </c>
      <c r="L27" s="89">
        <v>5187.0785206985402</v>
      </c>
      <c r="M27" s="87">
        <v>4.973927767587238</v>
      </c>
      <c r="N27" s="87">
        <v>30.176159786226332</v>
      </c>
      <c r="O27" s="87">
        <v>13.632126120605326</v>
      </c>
      <c r="P27" s="87">
        <v>16.251601811611305</v>
      </c>
      <c r="Q27" s="87">
        <v>3.801101886310676</v>
      </c>
      <c r="R27" s="87">
        <v>0</v>
      </c>
      <c r="S27" s="87">
        <v>0</v>
      </c>
      <c r="T27" s="87">
        <v>0</v>
      </c>
      <c r="U27" s="89">
        <v>1483.6938015214516</v>
      </c>
      <c r="V27" s="89">
        <v>978.90528973926803</v>
      </c>
      <c r="W27" s="89">
        <v>5624.5401052469024</v>
      </c>
    </row>
    <row r="28" spans="1:25" x14ac:dyDescent="0.25">
      <c r="A28" s="72">
        <v>27</v>
      </c>
      <c r="B28" s="16">
        <v>23.5807452487945</v>
      </c>
      <c r="C28" s="17">
        <v>0.82214880958565217</v>
      </c>
      <c r="D28" s="17">
        <v>21.020000250885882</v>
      </c>
      <c r="E28" s="17">
        <v>29.768175464663074</v>
      </c>
      <c r="F28" s="17">
        <v>121.86299186608375</v>
      </c>
      <c r="G28" s="17">
        <v>171.64935674988391</v>
      </c>
      <c r="H28" s="17">
        <v>13.316701562434728</v>
      </c>
      <c r="I28" s="17">
        <v>0</v>
      </c>
      <c r="J28" s="17">
        <v>0</v>
      </c>
      <c r="K28" s="76">
        <v>15893.17777229294</v>
      </c>
      <c r="L28" s="76">
        <v>9311.2096145774849</v>
      </c>
      <c r="M28" s="17">
        <v>0.64809636162008699</v>
      </c>
      <c r="N28" s="17">
        <v>12.836284176195816</v>
      </c>
      <c r="O28" s="17">
        <v>13.375591595952935</v>
      </c>
      <c r="P28" s="17">
        <v>25.40664073187245</v>
      </c>
      <c r="Q28" s="17">
        <v>23.445922788665111</v>
      </c>
      <c r="R28" s="17">
        <v>1.6680152546004785</v>
      </c>
      <c r="S28" s="17">
        <v>0</v>
      </c>
      <c r="T28" s="17">
        <v>0</v>
      </c>
      <c r="U28" s="76">
        <v>2624.7379780142292</v>
      </c>
      <c r="V28" s="76">
        <v>1537.7343566394165</v>
      </c>
      <c r="W28" s="76">
        <v>10727.576488865116</v>
      </c>
    </row>
    <row r="29" spans="1:25" x14ac:dyDescent="0.25">
      <c r="A29" s="97">
        <v>33</v>
      </c>
      <c r="B29" s="86">
        <v>28.157502468109101</v>
      </c>
      <c r="C29" s="87">
        <v>0</v>
      </c>
      <c r="D29" s="87">
        <v>4.9444558639512213</v>
      </c>
      <c r="E29" s="87">
        <v>9.6685308743427036</v>
      </c>
      <c r="F29" s="87">
        <v>55.484086100460431</v>
      </c>
      <c r="G29" s="87">
        <v>224.69543125828258</v>
      </c>
      <c r="H29" s="87">
        <v>157.17537767207216</v>
      </c>
      <c r="I29" s="87">
        <v>0</v>
      </c>
      <c r="J29" s="87">
        <v>0</v>
      </c>
      <c r="K29" s="89">
        <v>24707.19271779</v>
      </c>
      <c r="L29" s="89">
        <v>12853.391463227126</v>
      </c>
      <c r="M29" s="87">
        <v>0</v>
      </c>
      <c r="N29" s="87">
        <v>4.0150066791656256</v>
      </c>
      <c r="O29" s="87">
        <v>6.2346333305840256</v>
      </c>
      <c r="P29" s="87">
        <v>23.672058636607691</v>
      </c>
      <c r="Q29" s="87">
        <v>39.506321280898447</v>
      </c>
      <c r="R29" s="87">
        <v>19.447909012260538</v>
      </c>
      <c r="S29" s="87">
        <v>0</v>
      </c>
      <c r="T29" s="87">
        <v>0</v>
      </c>
      <c r="U29" s="89">
        <v>4119.5863305392249</v>
      </c>
      <c r="V29" s="89">
        <v>2143.127160490953</v>
      </c>
      <c r="W29" s="89">
        <v>15807.492694154173</v>
      </c>
    </row>
    <row r="30" spans="1:25" x14ac:dyDescent="0.25">
      <c r="A30" s="72">
        <v>39</v>
      </c>
      <c r="B30" s="16">
        <v>32.385358636855997</v>
      </c>
      <c r="C30" s="17">
        <v>0</v>
      </c>
      <c r="D30" s="17">
        <v>0.21075352448376883</v>
      </c>
      <c r="E30" s="17">
        <v>1.917328838375512</v>
      </c>
      <c r="F30" s="17">
        <v>16.080985078233333</v>
      </c>
      <c r="G30" s="17">
        <v>136.17056329050291</v>
      </c>
      <c r="H30" s="17">
        <v>262.68526489923562</v>
      </c>
      <c r="I30" s="17">
        <v>112.00825084102902</v>
      </c>
      <c r="J30" s="17">
        <v>0</v>
      </c>
      <c r="K30" s="76">
        <v>33790.351199787554</v>
      </c>
      <c r="L30" s="76">
        <v>15609.392707809277</v>
      </c>
      <c r="M30" s="17">
        <v>0</v>
      </c>
      <c r="N30" s="17">
        <v>0.15646747461878119</v>
      </c>
      <c r="O30" s="17">
        <v>1.6323701555259955</v>
      </c>
      <c r="P30" s="17">
        <v>10.823469385000507</v>
      </c>
      <c r="Q30" s="17">
        <v>47.607423744769264</v>
      </c>
      <c r="R30" s="17">
        <v>31.60926651914119</v>
      </c>
      <c r="S30" s="17">
        <v>10.25056867299012</v>
      </c>
      <c r="T30" s="17">
        <v>0</v>
      </c>
      <c r="U30" s="76">
        <v>5319.9344662666044</v>
      </c>
      <c r="V30" s="76">
        <v>2457.5342757694466</v>
      </c>
      <c r="W30" s="76">
        <v>20706.621099227275</v>
      </c>
    </row>
    <row r="31" spans="1:25" x14ac:dyDescent="0.25">
      <c r="A31" s="97">
        <v>45</v>
      </c>
      <c r="B31" s="86">
        <v>36.280409904479903</v>
      </c>
      <c r="C31" s="87">
        <v>0</v>
      </c>
      <c r="D31" s="87">
        <v>0</v>
      </c>
      <c r="E31" s="87">
        <v>0</v>
      </c>
      <c r="F31" s="87">
        <v>2.2834967290333594</v>
      </c>
      <c r="G31" s="87">
        <v>38.914212831688161</v>
      </c>
      <c r="H31" s="87">
        <v>221.66889775961982</v>
      </c>
      <c r="I31" s="87">
        <v>262.19793013377881</v>
      </c>
      <c r="J31" s="87">
        <v>67.462928941463261</v>
      </c>
      <c r="K31" s="89">
        <v>42698.064425224082</v>
      </c>
      <c r="L31" s="89">
        <v>17514.609500589955</v>
      </c>
      <c r="M31" s="87">
        <v>0</v>
      </c>
      <c r="N31" s="87">
        <v>0</v>
      </c>
      <c r="O31" s="87">
        <v>0</v>
      </c>
      <c r="P31" s="87">
        <v>1.9489203302625437</v>
      </c>
      <c r="Q31" s="87">
        <v>20.533432959566539</v>
      </c>
      <c r="R31" s="87">
        <v>44.713595973073026</v>
      </c>
      <c r="S31" s="87">
        <v>26.059715026485737</v>
      </c>
      <c r="T31" s="87">
        <v>8.7203505639578172</v>
      </c>
      <c r="U31" s="89">
        <v>6231.2455569093718</v>
      </c>
      <c r="V31" s="89">
        <v>2556.0370030984391</v>
      </c>
      <c r="W31" s="89">
        <v>25069.372167777401</v>
      </c>
    </row>
    <row r="32" spans="1:25" x14ac:dyDescent="0.25">
      <c r="A32" s="72">
        <v>51</v>
      </c>
      <c r="B32" s="16">
        <v>39.820657928466701</v>
      </c>
      <c r="C32" s="17">
        <v>0</v>
      </c>
      <c r="D32" s="17">
        <v>0</v>
      </c>
      <c r="E32" s="17">
        <v>0</v>
      </c>
      <c r="F32" s="17">
        <v>0</v>
      </c>
      <c r="G32" s="17">
        <v>6.6146198684049278</v>
      </c>
      <c r="H32" s="17">
        <v>90.746584734792052</v>
      </c>
      <c r="I32" s="17">
        <v>300.18612237278836</v>
      </c>
      <c r="J32" s="17">
        <v>253.62679950762515</v>
      </c>
      <c r="K32" s="76">
        <v>51070.904561350137</v>
      </c>
      <c r="L32" s="76">
        <v>18602.220598026095</v>
      </c>
      <c r="M32" s="17">
        <v>0</v>
      </c>
      <c r="N32" s="17">
        <v>0</v>
      </c>
      <c r="O32" s="17">
        <v>0</v>
      </c>
      <c r="P32" s="17">
        <v>0</v>
      </c>
      <c r="Q32" s="17">
        <v>4.1006592090358742</v>
      </c>
      <c r="R32" s="17">
        <v>39.218278602020476</v>
      </c>
      <c r="S32" s="17">
        <v>36.880639815030179</v>
      </c>
      <c r="T32" s="17">
        <v>19.366124597440553</v>
      </c>
      <c r="U32" s="76">
        <v>6630.397471904198</v>
      </c>
      <c r="V32" s="76">
        <v>2415.0760101926762</v>
      </c>
      <c r="W32" s="76">
        <v>28713.020268311979</v>
      </c>
    </row>
    <row r="33" spans="1:25" x14ac:dyDescent="0.25">
      <c r="A33" s="97">
        <v>57</v>
      </c>
      <c r="B33" s="86">
        <v>43.0895602226257</v>
      </c>
      <c r="C33" s="87">
        <v>0</v>
      </c>
      <c r="D33" s="87">
        <v>0</v>
      </c>
      <c r="E33" s="87">
        <v>0</v>
      </c>
      <c r="F33" s="87">
        <v>0</v>
      </c>
      <c r="G33" s="87">
        <v>0.15470265574060019</v>
      </c>
      <c r="H33" s="87">
        <v>21.312634083275825</v>
      </c>
      <c r="I33" s="87">
        <v>169.42119073912892</v>
      </c>
      <c r="J33" s="87">
        <v>516.46890587620737</v>
      </c>
      <c r="K33" s="89">
        <v>58489.122976118262</v>
      </c>
      <c r="L33" s="89">
        <v>18917.568660232839</v>
      </c>
      <c r="M33" s="87">
        <v>0</v>
      </c>
      <c r="N33" s="87">
        <v>0</v>
      </c>
      <c r="O33" s="87">
        <v>0</v>
      </c>
      <c r="P33" s="87">
        <v>0</v>
      </c>
      <c r="Q33" s="87">
        <v>0.15470265574060019</v>
      </c>
      <c r="R33" s="87">
        <v>12.785210857125991</v>
      </c>
      <c r="S33" s="87">
        <v>43.366426559853302</v>
      </c>
      <c r="T33" s="87">
        <v>41.788543466504343</v>
      </c>
      <c r="U33" s="89">
        <v>7048.7230054190577</v>
      </c>
      <c r="V33" s="89">
        <v>2279.8204971619057</v>
      </c>
      <c r="W33" s="89">
        <v>31443.444340711401</v>
      </c>
    </row>
    <row r="34" spans="1:25" x14ac:dyDescent="0.25">
      <c r="A34" s="72">
        <v>63</v>
      </c>
      <c r="B34" s="16">
        <v>46.081127902984598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2.8584851057012011</v>
      </c>
      <c r="I34" s="17">
        <v>46.524565694147668</v>
      </c>
      <c r="J34" s="17">
        <v>711.06620752971946</v>
      </c>
      <c r="K34" s="76">
        <v>64389.445767334146</v>
      </c>
      <c r="L34" s="76">
        <v>18492.850804942576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2.3789395379945066</v>
      </c>
      <c r="S34" s="17">
        <v>22.894610538061706</v>
      </c>
      <c r="T34" s="17">
        <v>69.527419002526031</v>
      </c>
      <c r="U34" s="76">
        <v>7133.7340826397613</v>
      </c>
      <c r="V34" s="76">
        <v>2048.8308060467543</v>
      </c>
      <c r="W34" s="76">
        <v>33298.546982583044</v>
      </c>
    </row>
    <row r="35" spans="1:25" x14ac:dyDescent="0.25">
      <c r="A35" s="97">
        <v>69</v>
      </c>
      <c r="B35" s="86">
        <v>48.871113029479901</v>
      </c>
      <c r="C35" s="87">
        <v>0</v>
      </c>
      <c r="D35" s="87">
        <v>0</v>
      </c>
      <c r="E35" s="87">
        <v>0</v>
      </c>
      <c r="F35" s="87">
        <v>0</v>
      </c>
      <c r="G35" s="87">
        <v>0</v>
      </c>
      <c r="H35" s="87">
        <v>0</v>
      </c>
      <c r="I35" s="87">
        <v>7.2767393108382219</v>
      </c>
      <c r="J35" s="87">
        <v>804.88555157904545</v>
      </c>
      <c r="K35" s="89">
        <v>69176.802199048121</v>
      </c>
      <c r="L35" s="89">
        <v>17642.033022531406</v>
      </c>
      <c r="M35" s="87">
        <v>0</v>
      </c>
      <c r="N35" s="87">
        <v>0</v>
      </c>
      <c r="O35" s="87">
        <v>0</v>
      </c>
      <c r="P35" s="87">
        <v>0</v>
      </c>
      <c r="Q35" s="87">
        <v>0</v>
      </c>
      <c r="R35" s="87">
        <v>0</v>
      </c>
      <c r="S35" s="87">
        <v>5.0195522196209321</v>
      </c>
      <c r="T35" s="87">
        <v>89.629981401921967</v>
      </c>
      <c r="U35" s="89">
        <v>7297.6922140224187</v>
      </c>
      <c r="V35" s="89">
        <v>1861.1170643245689</v>
      </c>
      <c r="W35" s="89">
        <v>34496.560006218628</v>
      </c>
    </row>
    <row r="36" spans="1:25" x14ac:dyDescent="0.25">
      <c r="A36" s="72">
        <v>75</v>
      </c>
      <c r="B36" s="16">
        <v>51.411813613891603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860.72541836659389</v>
      </c>
      <c r="K36" s="76">
        <v>73376.841915751967</v>
      </c>
      <c r="L36" s="76">
        <v>16616.751838102773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90.609165093918591</v>
      </c>
      <c r="U36" s="76">
        <v>7022.2102947787207</v>
      </c>
      <c r="V36" s="76">
        <v>1590.2336864985627</v>
      </c>
      <c r="W36" s="76">
        <v>35332.395886114566</v>
      </c>
    </row>
    <row r="37" spans="1:25" x14ac:dyDescent="0.25">
      <c r="A37" s="97">
        <v>81</v>
      </c>
      <c r="B37" s="91">
        <v>53.8864850421472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909.95833566732608</v>
      </c>
      <c r="K37" s="94">
        <v>77573.948115640131</v>
      </c>
      <c r="L37" s="94">
        <v>15599.187657660013</v>
      </c>
      <c r="M37" s="92">
        <v>0</v>
      </c>
      <c r="N37" s="92">
        <v>0</v>
      </c>
      <c r="O37" s="92">
        <v>0</v>
      </c>
      <c r="P37" s="92">
        <v>0</v>
      </c>
      <c r="Q37" s="92">
        <v>0</v>
      </c>
      <c r="R37" s="92">
        <v>0</v>
      </c>
      <c r="S37" s="92">
        <v>0</v>
      </c>
      <c r="T37" s="92">
        <v>909.95833566732608</v>
      </c>
      <c r="U37" s="94">
        <v>77573.948115640131</v>
      </c>
      <c r="V37" s="94">
        <v>15599.187657660013</v>
      </c>
      <c r="W37" s="94">
        <v>35905.065392170363</v>
      </c>
    </row>
    <row r="38" spans="1:25" s="6" customFormat="1" x14ac:dyDescent="0.25">
      <c r="A38" s="18" t="s">
        <v>13</v>
      </c>
      <c r="B38" s="19" t="s">
        <v>27</v>
      </c>
      <c r="C38" s="19" t="s">
        <v>27</v>
      </c>
      <c r="D38" s="19" t="s">
        <v>27</v>
      </c>
      <c r="E38" s="19" t="s">
        <v>27</v>
      </c>
      <c r="F38" s="19" t="s">
        <v>27</v>
      </c>
      <c r="G38" s="19" t="s">
        <v>27</v>
      </c>
      <c r="H38" s="19" t="s">
        <v>27</v>
      </c>
      <c r="I38" s="19" t="s">
        <v>27</v>
      </c>
      <c r="J38" s="19" t="s">
        <v>27</v>
      </c>
      <c r="K38" s="19" t="s">
        <v>27</v>
      </c>
      <c r="L38" s="19" t="s">
        <v>27</v>
      </c>
      <c r="M38" s="18">
        <v>16.079802029185728</v>
      </c>
      <c r="N38" s="18">
        <v>72.534881961380066</v>
      </c>
      <c r="O38" s="18">
        <v>42.666854449954918</v>
      </c>
      <c r="P38" s="18">
        <v>79.621150686576314</v>
      </c>
      <c r="Q38" s="18">
        <v>139.14956452498654</v>
      </c>
      <c r="R38" s="18">
        <v>151.82121575621622</v>
      </c>
      <c r="S38" s="18">
        <v>144.47151283204195</v>
      </c>
      <c r="T38" s="18">
        <v>1229.5999197935953</v>
      </c>
      <c r="U38" s="19" t="s">
        <v>27</v>
      </c>
      <c r="V38" s="77">
        <v>35905.065392170363</v>
      </c>
      <c r="W38" s="20" t="s">
        <v>27</v>
      </c>
    </row>
    <row r="39" spans="1:25" x14ac:dyDescent="0.25">
      <c r="A39"/>
      <c r="V39" s="2"/>
    </row>
    <row r="40" spans="1:25" x14ac:dyDescent="0.25">
      <c r="H40" s="8"/>
      <c r="I40" s="8"/>
      <c r="J40" s="8"/>
      <c r="W40" s="8" t="s">
        <v>75</v>
      </c>
    </row>
    <row r="41" spans="1:25" x14ac:dyDescent="0.25">
      <c r="V41" s="2"/>
      <c r="W41" s="8" t="s">
        <v>76</v>
      </c>
      <c r="X41" s="2"/>
      <c r="Y41" s="2"/>
    </row>
    <row r="42" spans="1: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V42" s="2"/>
      <c r="W42" s="8"/>
      <c r="X42" s="2"/>
      <c r="Y42" s="8"/>
    </row>
    <row r="43" spans="1:25" x14ac:dyDescent="0.25">
      <c r="V43" s="2"/>
      <c r="W43" s="2"/>
      <c r="X43" s="2"/>
      <c r="Y43" s="2"/>
    </row>
    <row r="44" spans="1:25" x14ac:dyDescent="0.25"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V45" s="2"/>
      <c r="W45" s="2"/>
      <c r="X45" s="2"/>
      <c r="Y45" s="2"/>
    </row>
    <row r="46" spans="1:25" x14ac:dyDescent="0.25">
      <c r="V46" s="2"/>
      <c r="W46" s="2"/>
      <c r="X46" s="2"/>
      <c r="Y46" s="2"/>
    </row>
  </sheetData>
  <mergeCells count="17">
    <mergeCell ref="D1:T1"/>
    <mergeCell ref="K6:N6"/>
    <mergeCell ref="U6:U7"/>
    <mergeCell ref="V6:V7"/>
    <mergeCell ref="W6:W7"/>
    <mergeCell ref="W23:W24"/>
    <mergeCell ref="O6:T6"/>
    <mergeCell ref="A23:A24"/>
    <mergeCell ref="A6:A7"/>
    <mergeCell ref="B6:B7"/>
    <mergeCell ref="C6:F6"/>
    <mergeCell ref="G6:J6"/>
    <mergeCell ref="B23:B24"/>
    <mergeCell ref="C23:J23"/>
    <mergeCell ref="K23:L23"/>
    <mergeCell ref="M23:T23"/>
    <mergeCell ref="U23:V23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46"/>
  <sheetViews>
    <sheetView topLeftCell="A15" workbookViewId="0">
      <selection activeCell="X4" sqref="X4"/>
    </sheetView>
  </sheetViews>
  <sheetFormatPr defaultColWidth="11.42578125" defaultRowHeight="15" x14ac:dyDescent="0.25"/>
  <cols>
    <col min="1" max="21" width="6.7109375" style="2" customWidth="1"/>
    <col min="22" max="23" width="6.7109375" customWidth="1"/>
  </cols>
  <sheetData>
    <row r="1" spans="1:27" ht="30.75" customHeight="1" x14ac:dyDescent="0.4">
      <c r="D1" s="135" t="s">
        <v>67</v>
      </c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</row>
    <row r="2" spans="1:27" x14ac:dyDescent="0.25">
      <c r="A2" s="5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U2" s="8"/>
      <c r="V2" s="8"/>
      <c r="W2" s="8"/>
    </row>
    <row r="3" spans="1:27" x14ac:dyDescent="0.25">
      <c r="A3" s="5" t="s">
        <v>78</v>
      </c>
      <c r="B3" s="5"/>
      <c r="C3" s="5"/>
      <c r="D3" s="7"/>
      <c r="E3" s="7" t="s">
        <v>79</v>
      </c>
      <c r="F3" s="7"/>
      <c r="G3" s="7"/>
      <c r="H3" s="7"/>
      <c r="I3" s="7"/>
      <c r="J3" s="7"/>
      <c r="K3" s="7" t="s">
        <v>83</v>
      </c>
      <c r="L3" s="7"/>
      <c r="M3" s="7"/>
      <c r="N3" s="7"/>
      <c r="R3" s="7" t="s">
        <v>82</v>
      </c>
      <c r="V3" s="2"/>
      <c r="W3" s="2"/>
    </row>
    <row r="4" spans="1:27" x14ac:dyDescent="0.25">
      <c r="A4" s="7"/>
      <c r="B4" s="7"/>
      <c r="C4" s="7"/>
      <c r="D4" s="7"/>
      <c r="E4" s="7" t="s">
        <v>15</v>
      </c>
      <c r="F4" s="7"/>
      <c r="G4" s="7"/>
      <c r="H4" s="7"/>
      <c r="I4" s="7"/>
      <c r="J4" s="7"/>
      <c r="K4" s="7" t="s">
        <v>80</v>
      </c>
      <c r="L4" s="7"/>
      <c r="M4" s="7"/>
      <c r="N4" s="7"/>
      <c r="O4" s="1"/>
      <c r="P4" s="1"/>
      <c r="Q4" s="1"/>
      <c r="R4" s="7" t="s">
        <v>81</v>
      </c>
      <c r="S4" s="1"/>
      <c r="T4" s="1"/>
      <c r="U4" s="1"/>
      <c r="V4" s="1"/>
      <c r="W4" s="7"/>
    </row>
    <row r="5" spans="1:27" x14ac:dyDescent="0.25">
      <c r="A5" s="5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7" x14ac:dyDescent="0.25">
      <c r="A6" s="151" t="s">
        <v>1</v>
      </c>
      <c r="B6" s="151" t="s">
        <v>2</v>
      </c>
      <c r="C6" s="153" t="s">
        <v>104</v>
      </c>
      <c r="D6" s="154"/>
      <c r="E6" s="154"/>
      <c r="F6" s="154"/>
      <c r="G6" s="154" t="s">
        <v>102</v>
      </c>
      <c r="H6" s="154"/>
      <c r="I6" s="154"/>
      <c r="J6" s="154"/>
      <c r="K6" s="154" t="s">
        <v>103</v>
      </c>
      <c r="L6" s="154"/>
      <c r="M6" s="154"/>
      <c r="N6" s="154"/>
      <c r="O6" s="148" t="s">
        <v>3</v>
      </c>
      <c r="P6" s="149"/>
      <c r="Q6" s="149"/>
      <c r="R6" s="149"/>
      <c r="S6" s="149"/>
      <c r="T6" s="150"/>
      <c r="U6" s="141" t="s">
        <v>14</v>
      </c>
      <c r="V6" s="143" t="s">
        <v>63</v>
      </c>
      <c r="W6" s="141" t="s">
        <v>29</v>
      </c>
    </row>
    <row r="7" spans="1:27" x14ac:dyDescent="0.25">
      <c r="A7" s="152"/>
      <c r="B7" s="152"/>
      <c r="C7" s="74" t="s">
        <v>4</v>
      </c>
      <c r="D7" s="74" t="s">
        <v>5</v>
      </c>
      <c r="E7" s="74" t="s">
        <v>6</v>
      </c>
      <c r="F7" s="74" t="s">
        <v>7</v>
      </c>
      <c r="G7" s="74" t="s">
        <v>4</v>
      </c>
      <c r="H7" s="74" t="s">
        <v>5</v>
      </c>
      <c r="I7" s="74" t="s">
        <v>6</v>
      </c>
      <c r="J7" s="74" t="s">
        <v>7</v>
      </c>
      <c r="K7" s="74" t="s">
        <v>4</v>
      </c>
      <c r="L7" s="74" t="s">
        <v>5</v>
      </c>
      <c r="M7" s="74" t="s">
        <v>6</v>
      </c>
      <c r="N7" s="74" t="s">
        <v>7</v>
      </c>
      <c r="O7" s="73" t="s">
        <v>16</v>
      </c>
      <c r="P7" s="74" t="s">
        <v>8</v>
      </c>
      <c r="Q7" s="74" t="s">
        <v>9</v>
      </c>
      <c r="R7" s="74" t="s">
        <v>10</v>
      </c>
      <c r="S7" s="74" t="s">
        <v>11</v>
      </c>
      <c r="T7" s="74" t="s">
        <v>12</v>
      </c>
      <c r="U7" s="142"/>
      <c r="V7" s="144"/>
      <c r="W7" s="145"/>
    </row>
    <row r="8" spans="1:27" s="78" customFormat="1" ht="12" customHeight="1" x14ac:dyDescent="0.2">
      <c r="A8" s="81" t="s">
        <v>60</v>
      </c>
      <c r="B8" s="81" t="s">
        <v>58</v>
      </c>
      <c r="C8" s="81" t="s">
        <v>59</v>
      </c>
      <c r="D8" s="81" t="s">
        <v>54</v>
      </c>
      <c r="E8" s="81" t="s">
        <v>53</v>
      </c>
      <c r="F8" s="81" t="s">
        <v>57</v>
      </c>
      <c r="G8" s="81" t="s">
        <v>59</v>
      </c>
      <c r="H8" s="81" t="s">
        <v>54</v>
      </c>
      <c r="I8" s="81" t="s">
        <v>53</v>
      </c>
      <c r="J8" s="81" t="s">
        <v>57</v>
      </c>
      <c r="K8" s="81" t="s">
        <v>59</v>
      </c>
      <c r="L8" s="81" t="s">
        <v>54</v>
      </c>
      <c r="M8" s="81" t="s">
        <v>53</v>
      </c>
      <c r="N8" s="81" t="s">
        <v>57</v>
      </c>
      <c r="O8" s="81" t="s">
        <v>61</v>
      </c>
      <c r="P8" s="81" t="s">
        <v>52</v>
      </c>
      <c r="Q8" s="81" t="s">
        <v>52</v>
      </c>
      <c r="R8" s="81" t="s">
        <v>56</v>
      </c>
      <c r="S8" s="81" t="s">
        <v>56</v>
      </c>
      <c r="T8" s="81" t="s">
        <v>57</v>
      </c>
      <c r="U8" s="79"/>
      <c r="V8" s="80" t="s">
        <v>62</v>
      </c>
      <c r="W8" s="81" t="s">
        <v>58</v>
      </c>
    </row>
    <row r="9" spans="1:27" x14ac:dyDescent="0.25">
      <c r="A9" s="14">
        <v>17</v>
      </c>
      <c r="B9" s="11">
        <v>13.4950675954818</v>
      </c>
      <c r="C9" s="10">
        <v>1613.1</v>
      </c>
      <c r="D9" s="10">
        <v>45.656416641343803</v>
      </c>
      <c r="E9" s="11">
        <v>26.758087691504471</v>
      </c>
      <c r="F9" s="10">
        <v>149.81209259048066</v>
      </c>
      <c r="G9" s="10">
        <v>526.61999999999989</v>
      </c>
      <c r="H9" s="10">
        <v>44.25019909091025</v>
      </c>
      <c r="I9" s="11">
        <v>8.20574360108143</v>
      </c>
      <c r="J9" s="10">
        <v>45.497988365375363</v>
      </c>
      <c r="K9" s="10">
        <v>1086.48</v>
      </c>
      <c r="L9" s="10">
        <v>46.322656707690527</v>
      </c>
      <c r="M9" s="11">
        <v>18.552344090423041</v>
      </c>
      <c r="N9" s="10">
        <v>104.3141042251053</v>
      </c>
      <c r="O9" s="11">
        <v>2.4693779285742843</v>
      </c>
      <c r="P9" s="12">
        <v>2.2737883631294848</v>
      </c>
      <c r="Q9" s="12">
        <v>1.5740051583237924</v>
      </c>
      <c r="R9" s="11">
        <v>22.828080270668995</v>
      </c>
      <c r="S9" s="11">
        <v>8.8124760347341571</v>
      </c>
      <c r="T9" s="75">
        <v>149.81209259048066</v>
      </c>
      <c r="U9" s="10">
        <v>91.523259309573831</v>
      </c>
      <c r="V9" s="11">
        <v>32.646457132229862</v>
      </c>
      <c r="W9" s="16">
        <v>3.2600466601418341</v>
      </c>
      <c r="Y9" s="9"/>
      <c r="Z9" s="9"/>
      <c r="AA9" s="9"/>
    </row>
    <row r="10" spans="1:27" x14ac:dyDescent="0.25">
      <c r="A10" s="85">
        <v>23</v>
      </c>
      <c r="B10" s="86">
        <v>18.0576152915954</v>
      </c>
      <c r="C10" s="87">
        <v>1082.3399999999999</v>
      </c>
      <c r="D10" s="87">
        <v>61.138924279136234</v>
      </c>
      <c r="E10" s="86">
        <v>32.195074269199949</v>
      </c>
      <c r="F10" s="87">
        <v>241.28258584911927</v>
      </c>
      <c r="G10" s="87">
        <v>355.31999999999994</v>
      </c>
      <c r="H10" s="87">
        <v>52.91006381840986</v>
      </c>
      <c r="I10" s="86">
        <v>7.9156459361992475</v>
      </c>
      <c r="J10" s="87">
        <v>56.680243671617973</v>
      </c>
      <c r="K10" s="87">
        <v>727.02</v>
      </c>
      <c r="L10" s="87">
        <v>64.781497249341243</v>
      </c>
      <c r="M10" s="86">
        <v>24.279428333000702</v>
      </c>
      <c r="N10" s="87">
        <v>184.6023421775013</v>
      </c>
      <c r="O10" s="86">
        <v>2.4701540618861819</v>
      </c>
      <c r="P10" s="88">
        <v>2.0353950141873889</v>
      </c>
      <c r="Q10" s="88">
        <v>1.7565572987078861</v>
      </c>
      <c r="R10" s="86">
        <v>24.527584567086151</v>
      </c>
      <c r="S10" s="86">
        <v>12.468720618021507</v>
      </c>
      <c r="T10" s="89">
        <v>286.78057421449466</v>
      </c>
      <c r="U10" s="87">
        <v>87.570794054167536</v>
      </c>
      <c r="V10" s="86">
        <v>32.828870779976711</v>
      </c>
      <c r="W10" s="86">
        <v>3.9853044581504817</v>
      </c>
    </row>
    <row r="11" spans="1:27" x14ac:dyDescent="0.25">
      <c r="A11" s="15">
        <v>29</v>
      </c>
      <c r="B11" s="16">
        <v>22.414717399597102</v>
      </c>
      <c r="C11" s="17">
        <v>723.69</v>
      </c>
      <c r="D11" s="17">
        <v>79.602421620658333</v>
      </c>
      <c r="E11" s="16">
        <v>36.491798418125036</v>
      </c>
      <c r="F11" s="17">
        <v>331.76784958001821</v>
      </c>
      <c r="G11" s="17">
        <v>203.39999999999998</v>
      </c>
      <c r="H11" s="17">
        <v>68.061956891111137</v>
      </c>
      <c r="I11" s="16">
        <v>7.4980778937930843</v>
      </c>
      <c r="J11" s="17">
        <v>66.274324155633622</v>
      </c>
      <c r="K11" s="17">
        <v>520.29000000000008</v>
      </c>
      <c r="L11" s="17">
        <v>83.682407624449866</v>
      </c>
      <c r="M11" s="16">
        <v>28.993720524331952</v>
      </c>
      <c r="N11" s="17">
        <v>265.49352542438459</v>
      </c>
      <c r="O11" s="16">
        <v>2.4829138861299023</v>
      </c>
      <c r="P11" s="13">
        <v>1.8400343602051954</v>
      </c>
      <c r="Q11" s="13">
        <v>1.8142478605312315</v>
      </c>
      <c r="R11" s="16">
        <v>25.331592471871051</v>
      </c>
      <c r="S11" s="16">
        <v>14.963657986793502</v>
      </c>
      <c r="T11" s="76">
        <v>433.94608161701154</v>
      </c>
      <c r="U11" s="17">
        <v>84.14900277593263</v>
      </c>
      <c r="V11" s="16">
        <v>28.105956970526048</v>
      </c>
      <c r="W11" s="16">
        <v>4.7109874224374391</v>
      </c>
    </row>
    <row r="12" spans="1:27" x14ac:dyDescent="0.25">
      <c r="A12" s="85">
        <v>35</v>
      </c>
      <c r="B12" s="86">
        <v>26.490654706954899</v>
      </c>
      <c r="C12" s="87">
        <v>517.68000000000006</v>
      </c>
      <c r="D12" s="87">
        <v>98.57989094122928</v>
      </c>
      <c r="E12" s="86">
        <v>40.033926685563124</v>
      </c>
      <c r="F12" s="87">
        <v>417.4830802556109</v>
      </c>
      <c r="G12" s="87">
        <v>138.60000000000008</v>
      </c>
      <c r="H12" s="87">
        <v>85.036727762853886</v>
      </c>
      <c r="I12" s="86">
        <v>7.9756565938348558</v>
      </c>
      <c r="J12" s="87">
        <v>81.891959827683593</v>
      </c>
      <c r="K12" s="87">
        <v>379.08</v>
      </c>
      <c r="L12" s="87">
        <v>103.08833796503288</v>
      </c>
      <c r="M12" s="86">
        <v>32.058270091728268</v>
      </c>
      <c r="N12" s="87">
        <v>335.59112042792731</v>
      </c>
      <c r="O12" s="86">
        <v>2.5284446888098464</v>
      </c>
      <c r="P12" s="88">
        <v>1.6599176262931803</v>
      </c>
      <c r="Q12" s="88">
        <v>1.8186684033324825</v>
      </c>
      <c r="R12" s="86">
        <v>25.230408705488856</v>
      </c>
      <c r="S12" s="86">
        <v>16.741018184235365</v>
      </c>
      <c r="T12" s="89">
        <v>585.9356364482378</v>
      </c>
      <c r="U12" s="87">
        <v>80.729642032236683</v>
      </c>
      <c r="V12" s="86">
        <v>26.773296244784433</v>
      </c>
      <c r="W12" s="86">
        <v>5.5191125188912018</v>
      </c>
    </row>
    <row r="13" spans="1:27" x14ac:dyDescent="0.25">
      <c r="A13" s="15">
        <v>41</v>
      </c>
      <c r="B13" s="16">
        <v>30.256224988937301</v>
      </c>
      <c r="C13" s="17">
        <v>377.55</v>
      </c>
      <c r="D13" s="17">
        <v>118.25900609789196</v>
      </c>
      <c r="E13" s="16">
        <v>42.01777584948735</v>
      </c>
      <c r="F13" s="17">
        <v>486.97357266086044</v>
      </c>
      <c r="G13" s="17">
        <v>92.699999999999989</v>
      </c>
      <c r="H13" s="17">
        <v>103.83253718575199</v>
      </c>
      <c r="I13" s="16">
        <v>7.9531065836822705</v>
      </c>
      <c r="J13" s="17">
        <v>91.445590703320192</v>
      </c>
      <c r="K13" s="17">
        <v>284.85000000000002</v>
      </c>
      <c r="L13" s="17">
        <v>122.58826781974285</v>
      </c>
      <c r="M13" s="16">
        <v>34.06466926580508</v>
      </c>
      <c r="N13" s="17">
        <v>395.52798195754025</v>
      </c>
      <c r="O13" s="16">
        <v>2.579057267822551</v>
      </c>
      <c r="P13" s="13">
        <v>1.5033175251066748</v>
      </c>
      <c r="Q13" s="13">
        <v>1.7954365823023406</v>
      </c>
      <c r="R13" s="16">
        <v>24.688656532843492</v>
      </c>
      <c r="S13" s="16">
        <v>17.983368016613927</v>
      </c>
      <c r="T13" s="76">
        <v>737.31808868117105</v>
      </c>
      <c r="U13" s="17">
        <v>77.538198264105915</v>
      </c>
      <c r="V13" s="16">
        <v>24.553039332538731</v>
      </c>
      <c r="W13" s="16">
        <v>6.3668786467919505</v>
      </c>
      <c r="Y13" s="9"/>
      <c r="AA13" s="9"/>
    </row>
    <row r="14" spans="1:27" x14ac:dyDescent="0.25">
      <c r="A14" s="85">
        <v>47</v>
      </c>
      <c r="B14" s="86">
        <v>33.7332238845825</v>
      </c>
      <c r="C14" s="87">
        <v>284.04000000000002</v>
      </c>
      <c r="D14" s="87">
        <v>138.06261142667816</v>
      </c>
      <c r="E14" s="86">
        <v>43.084574416445129</v>
      </c>
      <c r="F14" s="87">
        <v>543.65992115460119</v>
      </c>
      <c r="G14" s="87">
        <v>60.750000000000028</v>
      </c>
      <c r="H14" s="87">
        <v>122.18772002881349</v>
      </c>
      <c r="I14" s="86">
        <v>7.2175789062625455</v>
      </c>
      <c r="J14" s="87">
        <v>90.655016110670715</v>
      </c>
      <c r="K14" s="87">
        <v>223.29</v>
      </c>
      <c r="L14" s="87">
        <v>142.07504241338845</v>
      </c>
      <c r="M14" s="86">
        <v>35.866995510182583</v>
      </c>
      <c r="N14" s="87">
        <v>453.00490504393048</v>
      </c>
      <c r="O14" s="86">
        <v>2.6159357644601755</v>
      </c>
      <c r="P14" s="88">
        <v>1.3729496730321589</v>
      </c>
      <c r="Q14" s="88">
        <v>1.7581447877667238</v>
      </c>
      <c r="R14" s="86">
        <v>24.056754219701542</v>
      </c>
      <c r="S14" s="86">
        <v>18.839362295281532</v>
      </c>
      <c r="T14" s="89">
        <v>885.45002787823194</v>
      </c>
      <c r="U14" s="87">
        <v>74.591600704472128</v>
      </c>
      <c r="V14" s="86">
        <v>21.387832699619779</v>
      </c>
      <c r="W14" s="86">
        <v>7.1911781409714886</v>
      </c>
      <c r="Y14" s="9"/>
    </row>
    <row r="15" spans="1:27" x14ac:dyDescent="0.25">
      <c r="A15" s="15">
        <v>53</v>
      </c>
      <c r="B15" s="16">
        <v>36.952181663513102</v>
      </c>
      <c r="C15" s="17">
        <v>222.66</v>
      </c>
      <c r="D15" s="17">
        <v>157.7706570001495</v>
      </c>
      <c r="E15" s="16">
        <v>44.104693548375536</v>
      </c>
      <c r="F15" s="17">
        <v>597.34543036213972</v>
      </c>
      <c r="G15" s="17">
        <v>41.849999999999994</v>
      </c>
      <c r="H15" s="17">
        <v>140.63798152786916</v>
      </c>
      <c r="I15" s="16">
        <v>6.5870482954140854</v>
      </c>
      <c r="J15" s="17">
        <v>89.018488379947428</v>
      </c>
      <c r="K15" s="17">
        <v>180.81</v>
      </c>
      <c r="L15" s="17">
        <v>161.47730598695998</v>
      </c>
      <c r="M15" s="16">
        <v>37.517645252961451</v>
      </c>
      <c r="N15" s="17">
        <v>508.3269419821923</v>
      </c>
      <c r="O15" s="16">
        <v>2.6283132333381616</v>
      </c>
      <c r="P15" s="13">
        <v>1.2659618624473801</v>
      </c>
      <c r="Q15" s="13">
        <v>1.7145377936458295</v>
      </c>
      <c r="R15" s="16">
        <v>23.429347805815201</v>
      </c>
      <c r="S15" s="16">
        <v>19.430010437668699</v>
      </c>
      <c r="T15" s="76">
        <v>1029.7905531964411</v>
      </c>
      <c r="U15" s="17">
        <v>71.891651733143803</v>
      </c>
      <c r="V15" s="16">
        <v>18.795472918350846</v>
      </c>
      <c r="W15" s="16">
        <v>7.9914108888221662</v>
      </c>
      <c r="Y15" s="9"/>
    </row>
    <row r="16" spans="1:27" x14ac:dyDescent="0.25">
      <c r="A16" s="85">
        <v>59</v>
      </c>
      <c r="B16" s="86">
        <v>39.9346520767211</v>
      </c>
      <c r="C16" s="87">
        <v>180.45000000000002</v>
      </c>
      <c r="D16" s="87">
        <v>177.24718538698895</v>
      </c>
      <c r="E16" s="86">
        <v>45.113416427645731</v>
      </c>
      <c r="F16" s="87">
        <v>648.90302881708351</v>
      </c>
      <c r="G16" s="87">
        <v>30.060000000000031</v>
      </c>
      <c r="H16" s="87">
        <v>159.83386537732332</v>
      </c>
      <c r="I16" s="86">
        <v>6.1110623829403821</v>
      </c>
      <c r="J16" s="87">
        <v>87.815388013469146</v>
      </c>
      <c r="K16" s="87">
        <v>150.38999999999999</v>
      </c>
      <c r="L16" s="87">
        <v>180.52645853561978</v>
      </c>
      <c r="M16" s="86">
        <v>39.002354044705349</v>
      </c>
      <c r="N16" s="87">
        <v>561.08764080361436</v>
      </c>
      <c r="O16" s="86">
        <v>2.6271268387429481</v>
      </c>
      <c r="P16" s="88">
        <v>1.1755309913199301</v>
      </c>
      <c r="Q16" s="88">
        <v>1.6689199023375125</v>
      </c>
      <c r="R16" s="86">
        <v>22.805916874840062</v>
      </c>
      <c r="S16" s="86">
        <v>19.836722712395463</v>
      </c>
      <c r="T16" s="89">
        <v>1170.3666400313323</v>
      </c>
      <c r="U16" s="87">
        <v>69.495857064706726</v>
      </c>
      <c r="V16" s="86">
        <v>16.658354114713234</v>
      </c>
      <c r="W16" s="86">
        <v>8.7624429718076478</v>
      </c>
      <c r="Y16" s="9"/>
    </row>
    <row r="17" spans="1:25" x14ac:dyDescent="0.25">
      <c r="A17" s="15">
        <v>65</v>
      </c>
      <c r="B17" s="16">
        <v>42.7109277954101</v>
      </c>
      <c r="C17" s="17">
        <v>150.21</v>
      </c>
      <c r="D17" s="17">
        <v>196.28921956807747</v>
      </c>
      <c r="E17" s="16">
        <v>46.055539992624929</v>
      </c>
      <c r="F17" s="17">
        <v>697.92314205265473</v>
      </c>
      <c r="G17" s="17">
        <v>22.139999999999986</v>
      </c>
      <c r="H17" s="17">
        <v>180.14228677130134</v>
      </c>
      <c r="I17" s="16">
        <v>5.7174068214806368</v>
      </c>
      <c r="J17" s="17">
        <v>86.784286715111762</v>
      </c>
      <c r="K17" s="17">
        <v>128.07000000000002</v>
      </c>
      <c r="L17" s="17">
        <v>198.94779264737781</v>
      </c>
      <c r="M17" s="16">
        <v>40.338133171144293</v>
      </c>
      <c r="N17" s="17">
        <v>611.13885533754296</v>
      </c>
      <c r="O17" s="16">
        <v>2.610403843312298</v>
      </c>
      <c r="P17" s="13">
        <v>1.10022543525447</v>
      </c>
      <c r="Q17" s="13">
        <v>1.6233763105512742</v>
      </c>
      <c r="R17" s="16">
        <v>22.229422867611902</v>
      </c>
      <c r="S17" s="16">
        <v>20.110802173544197</v>
      </c>
      <c r="T17" s="76">
        <v>1307.2021412803729</v>
      </c>
      <c r="U17" s="17">
        <v>67.444999114863521</v>
      </c>
      <c r="V17" s="16">
        <v>14.739364889155173</v>
      </c>
      <c r="W17" s="16">
        <v>9.495350040745592</v>
      </c>
      <c r="Y17" s="9"/>
    </row>
    <row r="18" spans="1:25" x14ac:dyDescent="0.25">
      <c r="A18" s="85">
        <v>71</v>
      </c>
      <c r="B18" s="86">
        <v>45.2915352592468</v>
      </c>
      <c r="C18" s="87">
        <v>128.07000000000002</v>
      </c>
      <c r="D18" s="87">
        <v>214.6102157072516</v>
      </c>
      <c r="E18" s="86">
        <v>46.939485782671113</v>
      </c>
      <c r="F18" s="87">
        <v>744.51539254321438</v>
      </c>
      <c r="G18" s="87">
        <v>17.550000000000026</v>
      </c>
      <c r="H18" s="87">
        <v>195.09977474266094</v>
      </c>
      <c r="I18" s="86">
        <v>5.3159488402566666</v>
      </c>
      <c r="J18" s="87">
        <v>84.568192193538835</v>
      </c>
      <c r="K18" s="87">
        <v>110.52</v>
      </c>
      <c r="L18" s="87">
        <v>217.54744377088406</v>
      </c>
      <c r="M18" s="86">
        <v>41.623536942414447</v>
      </c>
      <c r="N18" s="87">
        <v>659.94720034967554</v>
      </c>
      <c r="O18" s="86">
        <v>2.6103615537471967</v>
      </c>
      <c r="P18" s="88">
        <v>1.0348423921219201</v>
      </c>
      <c r="Q18" s="88">
        <v>1.5791663774276006</v>
      </c>
      <c r="R18" s="86">
        <v>21.684820986403945</v>
      </c>
      <c r="S18" s="86">
        <v>20.289840542056961</v>
      </c>
      <c r="T18" s="89">
        <v>1440.5786784860443</v>
      </c>
      <c r="U18" s="87">
        <v>65.405298253059144</v>
      </c>
      <c r="V18" s="86">
        <v>13.703443429374579</v>
      </c>
      <c r="W18" s="86">
        <v>10.221490892959347</v>
      </c>
      <c r="Y18" s="9"/>
    </row>
    <row r="19" spans="1:25" x14ac:dyDescent="0.25">
      <c r="A19" s="15">
        <v>77</v>
      </c>
      <c r="B19" s="16">
        <v>47.694570224761897</v>
      </c>
      <c r="C19" s="17">
        <v>110.52</v>
      </c>
      <c r="D19" s="17">
        <v>233.20961309336724</v>
      </c>
      <c r="E19" s="16">
        <v>47.832591295145967</v>
      </c>
      <c r="F19" s="17">
        <v>790.05612626809921</v>
      </c>
      <c r="G19" s="17">
        <v>13.5</v>
      </c>
      <c r="H19" s="17">
        <v>216.22373539070853</v>
      </c>
      <c r="I19" s="16">
        <v>5.0226236352920637</v>
      </c>
      <c r="J19" s="17">
        <v>83.689155174878124</v>
      </c>
      <c r="K19" s="17">
        <v>97.02</v>
      </c>
      <c r="L19" s="17">
        <v>235.47605250882432</v>
      </c>
      <c r="M19" s="16">
        <v>42.809967659853903</v>
      </c>
      <c r="N19" s="17">
        <v>706.36697109322108</v>
      </c>
      <c r="O19" s="16">
        <v>2.6047925434641144</v>
      </c>
      <c r="P19" s="13">
        <v>0.97854221948576969</v>
      </c>
      <c r="Q19" s="13">
        <v>1.5367515214297554</v>
      </c>
      <c r="R19" s="16">
        <v>21.176727799771793</v>
      </c>
      <c r="S19" s="16">
        <v>20.398540316941141</v>
      </c>
      <c r="T19" s="76">
        <v>1570.6876044044679</v>
      </c>
      <c r="U19" s="17">
        <v>63.631486020693934</v>
      </c>
      <c r="V19" s="16">
        <v>12.21498371335505</v>
      </c>
      <c r="W19" s="16">
        <v>10.909479963760885</v>
      </c>
      <c r="Y19" s="9"/>
    </row>
    <row r="20" spans="1:25" x14ac:dyDescent="0.25">
      <c r="A20" s="90">
        <v>83</v>
      </c>
      <c r="B20" s="91">
        <v>49.918650207519498</v>
      </c>
      <c r="C20" s="92">
        <v>97.02</v>
      </c>
      <c r="D20" s="92">
        <v>251.10480776960901</v>
      </c>
      <c r="E20" s="91">
        <v>48.681220976768522</v>
      </c>
      <c r="F20" s="92">
        <v>833.42733789185183</v>
      </c>
      <c r="G20" s="92">
        <v>97.02</v>
      </c>
      <c r="H20" s="92">
        <v>251.10480776960901</v>
      </c>
      <c r="I20" s="91">
        <v>48.681220976768522</v>
      </c>
      <c r="J20" s="92">
        <v>833.42733789185183</v>
      </c>
      <c r="K20" s="92" t="s">
        <v>27</v>
      </c>
      <c r="L20" s="92" t="s">
        <v>27</v>
      </c>
      <c r="M20" s="91" t="s">
        <v>27</v>
      </c>
      <c r="N20" s="92" t="s">
        <v>27</v>
      </c>
      <c r="O20" s="91" t="s">
        <v>27</v>
      </c>
      <c r="P20" s="93" t="s">
        <v>27</v>
      </c>
      <c r="Q20" s="93">
        <v>1.4963990417711539</v>
      </c>
      <c r="R20" s="91" t="s">
        <v>27</v>
      </c>
      <c r="S20" s="91">
        <v>20.454794833772272</v>
      </c>
      <c r="T20" s="94">
        <v>1697.7479712030986</v>
      </c>
      <c r="U20" s="92">
        <v>62.453628889873507</v>
      </c>
      <c r="V20" s="95" t="s">
        <v>27</v>
      </c>
      <c r="W20" s="96" t="s">
        <v>27</v>
      </c>
    </row>
    <row r="22" spans="1:25" x14ac:dyDescent="0.25">
      <c r="A22" s="5" t="s">
        <v>30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5" ht="15" customHeight="1" x14ac:dyDescent="0.25">
      <c r="A23" s="141" t="s">
        <v>1</v>
      </c>
      <c r="B23" s="141" t="s">
        <v>2</v>
      </c>
      <c r="C23" s="146" t="s">
        <v>31</v>
      </c>
      <c r="D23" s="155"/>
      <c r="E23" s="155"/>
      <c r="F23" s="155"/>
      <c r="G23" s="155"/>
      <c r="H23" s="155"/>
      <c r="I23" s="155"/>
      <c r="J23" s="147"/>
      <c r="K23" s="146" t="s">
        <v>109</v>
      </c>
      <c r="L23" s="147"/>
      <c r="M23" s="146" t="s">
        <v>32</v>
      </c>
      <c r="N23" s="155"/>
      <c r="O23" s="155"/>
      <c r="P23" s="155"/>
      <c r="Q23" s="155"/>
      <c r="R23" s="155"/>
      <c r="S23" s="155"/>
      <c r="T23" s="147"/>
      <c r="U23" s="146" t="s">
        <v>110</v>
      </c>
      <c r="V23" s="147"/>
      <c r="W23" s="143" t="s">
        <v>107</v>
      </c>
    </row>
    <row r="24" spans="1:25" x14ac:dyDescent="0.25">
      <c r="A24" s="145"/>
      <c r="B24" s="145"/>
      <c r="C24" s="82" t="s">
        <v>19</v>
      </c>
      <c r="D24" s="82" t="s">
        <v>20</v>
      </c>
      <c r="E24" s="82" t="s">
        <v>21</v>
      </c>
      <c r="F24" s="82" t="s">
        <v>22</v>
      </c>
      <c r="G24" s="82" t="s">
        <v>23</v>
      </c>
      <c r="H24" s="82" t="s">
        <v>24</v>
      </c>
      <c r="I24" s="82" t="s">
        <v>25</v>
      </c>
      <c r="J24" s="82" t="s">
        <v>26</v>
      </c>
      <c r="K24" s="98" t="s">
        <v>109</v>
      </c>
      <c r="L24" s="98" t="s">
        <v>106</v>
      </c>
      <c r="M24" s="82" t="s">
        <v>19</v>
      </c>
      <c r="N24" s="82" t="s">
        <v>20</v>
      </c>
      <c r="O24" s="82" t="s">
        <v>21</v>
      </c>
      <c r="P24" s="82" t="s">
        <v>22</v>
      </c>
      <c r="Q24" s="82" t="s">
        <v>23</v>
      </c>
      <c r="R24" s="82" t="s">
        <v>24</v>
      </c>
      <c r="S24" s="82" t="s">
        <v>25</v>
      </c>
      <c r="T24" s="82" t="s">
        <v>26</v>
      </c>
      <c r="U24" s="98" t="s">
        <v>110</v>
      </c>
      <c r="V24" s="98" t="s">
        <v>106</v>
      </c>
      <c r="W24" s="144"/>
    </row>
    <row r="25" spans="1:25" s="78" customFormat="1" ht="12" x14ac:dyDescent="0.2">
      <c r="A25" s="81" t="s">
        <v>60</v>
      </c>
      <c r="B25" s="81" t="s">
        <v>58</v>
      </c>
      <c r="C25" s="81" t="s">
        <v>57</v>
      </c>
      <c r="D25" s="81" t="s">
        <v>57</v>
      </c>
      <c r="E25" s="81" t="s">
        <v>57</v>
      </c>
      <c r="F25" s="81" t="s">
        <v>57</v>
      </c>
      <c r="G25" s="81" t="s">
        <v>57</v>
      </c>
      <c r="H25" s="81" t="s">
        <v>57</v>
      </c>
      <c r="I25" s="81" t="s">
        <v>57</v>
      </c>
      <c r="J25" s="81" t="s">
        <v>57</v>
      </c>
      <c r="K25" s="81" t="s">
        <v>64</v>
      </c>
      <c r="L25" s="81" t="s">
        <v>64</v>
      </c>
      <c r="M25" s="81" t="s">
        <v>57</v>
      </c>
      <c r="N25" s="81" t="s">
        <v>57</v>
      </c>
      <c r="O25" s="81" t="s">
        <v>57</v>
      </c>
      <c r="P25" s="81" t="s">
        <v>57</v>
      </c>
      <c r="Q25" s="81" t="s">
        <v>57</v>
      </c>
      <c r="R25" s="81" t="s">
        <v>57</v>
      </c>
      <c r="S25" s="81" t="s">
        <v>57</v>
      </c>
      <c r="T25" s="81" t="s">
        <v>57</v>
      </c>
      <c r="U25" s="81" t="s">
        <v>64</v>
      </c>
      <c r="V25" s="81" t="s">
        <v>64</v>
      </c>
      <c r="W25" s="81" t="s">
        <v>64</v>
      </c>
    </row>
    <row r="26" spans="1:25" x14ac:dyDescent="0.25">
      <c r="A26" s="72">
        <v>17</v>
      </c>
      <c r="B26" s="16">
        <v>13.4950675954818</v>
      </c>
      <c r="C26" s="17">
        <v>28.660366255576125</v>
      </c>
      <c r="D26" s="17">
        <v>88.825485229076889</v>
      </c>
      <c r="E26" s="17">
        <v>26.820758087918033</v>
      </c>
      <c r="F26" s="17">
        <v>5.1639837679035789</v>
      </c>
      <c r="G26" s="17">
        <v>0</v>
      </c>
      <c r="H26" s="17">
        <v>0</v>
      </c>
      <c r="I26" s="17">
        <v>0</v>
      </c>
      <c r="J26" s="17">
        <v>0</v>
      </c>
      <c r="K26" s="76">
        <v>2210.6504741233439</v>
      </c>
      <c r="L26" s="76">
        <v>1578.7638073142523</v>
      </c>
      <c r="M26" s="17">
        <v>10.259739783920416</v>
      </c>
      <c r="N26" s="17">
        <v>25.723368212542486</v>
      </c>
      <c r="O26" s="17">
        <v>7.5344800030485537</v>
      </c>
      <c r="P26" s="17">
        <v>1.6389011158571147</v>
      </c>
      <c r="Q26" s="17">
        <v>0</v>
      </c>
      <c r="R26" s="17">
        <v>0</v>
      </c>
      <c r="S26" s="17">
        <v>0</v>
      </c>
      <c r="T26" s="17">
        <v>0</v>
      </c>
      <c r="U26" s="76">
        <v>590.96370938334883</v>
      </c>
      <c r="V26" s="76">
        <v>422.04415701699594</v>
      </c>
      <c r="W26" s="76">
        <v>1578.7638073142523</v>
      </c>
    </row>
    <row r="27" spans="1:25" x14ac:dyDescent="0.25">
      <c r="A27" s="97">
        <v>23</v>
      </c>
      <c r="B27" s="86">
        <v>18.0576152915954</v>
      </c>
      <c r="C27" s="87">
        <v>7.8798013289545281</v>
      </c>
      <c r="D27" s="87">
        <v>71.201218864458397</v>
      </c>
      <c r="E27" s="87">
        <v>56.34151926302706</v>
      </c>
      <c r="F27" s="87">
        <v>88.993734587704523</v>
      </c>
      <c r="G27" s="87">
        <v>16.560897255016727</v>
      </c>
      <c r="H27" s="87">
        <v>0</v>
      </c>
      <c r="I27" s="87">
        <v>0</v>
      </c>
      <c r="J27" s="87">
        <v>0</v>
      </c>
      <c r="K27" s="89">
        <v>6913.9460313974523</v>
      </c>
      <c r="L27" s="89">
        <v>4384.5197904526822</v>
      </c>
      <c r="M27" s="87">
        <v>5.2849850349946186</v>
      </c>
      <c r="N27" s="87">
        <v>26.176050147879607</v>
      </c>
      <c r="O27" s="87">
        <v>9.8564125761956376</v>
      </c>
      <c r="P27" s="87">
        <v>12.673938149163796</v>
      </c>
      <c r="Q27" s="87">
        <v>2.3834432134263475</v>
      </c>
      <c r="R27" s="87">
        <v>0</v>
      </c>
      <c r="S27" s="87">
        <v>0</v>
      </c>
      <c r="T27" s="87">
        <v>0</v>
      </c>
      <c r="U27" s="89">
        <v>1150.7930431453237</v>
      </c>
      <c r="V27" s="89">
        <v>729.78221835586169</v>
      </c>
      <c r="W27" s="89">
        <v>4806.5639474696782</v>
      </c>
    </row>
    <row r="28" spans="1:25" x14ac:dyDescent="0.25">
      <c r="A28" s="72">
        <v>29</v>
      </c>
      <c r="B28" s="16">
        <v>22.414717399597102</v>
      </c>
      <c r="C28" s="17">
        <v>1.2094616765120618</v>
      </c>
      <c r="D28" s="17">
        <v>25.719708248790795</v>
      </c>
      <c r="E28" s="17">
        <v>36.939561651090763</v>
      </c>
      <c r="F28" s="17">
        <v>124.40288152302954</v>
      </c>
      <c r="G28" s="17">
        <v>143.05732562849036</v>
      </c>
      <c r="H28" s="17">
        <v>0</v>
      </c>
      <c r="I28" s="17">
        <v>0</v>
      </c>
      <c r="J28" s="17">
        <v>0</v>
      </c>
      <c r="K28" s="76">
        <v>13866.770465882992</v>
      </c>
      <c r="L28" s="76">
        <v>7808.5491043480197</v>
      </c>
      <c r="M28" s="17">
        <v>0.94952904463390786</v>
      </c>
      <c r="N28" s="17">
        <v>13.826035789448714</v>
      </c>
      <c r="O28" s="17">
        <v>13.555064376678823</v>
      </c>
      <c r="P28" s="17">
        <v>19.334016922511939</v>
      </c>
      <c r="Q28" s="17">
        <v>18.170767170256468</v>
      </c>
      <c r="R28" s="17">
        <v>0</v>
      </c>
      <c r="S28" s="17">
        <v>0</v>
      </c>
      <c r="T28" s="17">
        <v>0</v>
      </c>
      <c r="U28" s="76">
        <v>2063.7860983532078</v>
      </c>
      <c r="V28" s="76">
        <v>1162.1433505018845</v>
      </c>
      <c r="W28" s="76">
        <v>8960.3754797208767</v>
      </c>
    </row>
    <row r="29" spans="1:25" x14ac:dyDescent="0.25">
      <c r="A29" s="97">
        <v>35</v>
      </c>
      <c r="B29" s="86">
        <v>26.490654706954899</v>
      </c>
      <c r="C29" s="87">
        <v>3.6664639986467212E-2</v>
      </c>
      <c r="D29" s="87">
        <v>6.7020027449418293</v>
      </c>
      <c r="E29" s="87">
        <v>13.706015775190885</v>
      </c>
      <c r="F29" s="87">
        <v>74.625470885543194</v>
      </c>
      <c r="G29" s="87">
        <v>219.89976097957026</v>
      </c>
      <c r="H29" s="87">
        <v>101.87155947475826</v>
      </c>
      <c r="I29" s="87">
        <v>0</v>
      </c>
      <c r="J29" s="87">
        <v>0</v>
      </c>
      <c r="K29" s="89">
        <v>21719.47809273428</v>
      </c>
      <c r="L29" s="89">
        <v>10860.338794119465</v>
      </c>
      <c r="M29" s="87">
        <v>3.6664639986467212E-2</v>
      </c>
      <c r="N29" s="87">
        <v>5.0263573054867319</v>
      </c>
      <c r="O29" s="87">
        <v>7.6888429420393898</v>
      </c>
      <c r="P29" s="87">
        <v>25.352119711626184</v>
      </c>
      <c r="Q29" s="87">
        <v>30.779793106910155</v>
      </c>
      <c r="R29" s="87">
        <v>12.366576366014057</v>
      </c>
      <c r="S29" s="87">
        <v>0</v>
      </c>
      <c r="T29" s="87">
        <v>0</v>
      </c>
      <c r="U29" s="89">
        <v>3388.2378207867146</v>
      </c>
      <c r="V29" s="89">
        <v>1694.2124710216874</v>
      </c>
      <c r="W29" s="89">
        <v>13174.308519994207</v>
      </c>
    </row>
    <row r="30" spans="1:25" x14ac:dyDescent="0.25">
      <c r="A30" s="72">
        <v>41</v>
      </c>
      <c r="B30" s="16">
        <v>30.256224988937301</v>
      </c>
      <c r="C30" s="17">
        <v>0</v>
      </c>
      <c r="D30" s="17">
        <v>0.9374230767475189</v>
      </c>
      <c r="E30" s="17">
        <v>2.9713809888549467</v>
      </c>
      <c r="F30" s="17">
        <v>26.191631515225275</v>
      </c>
      <c r="G30" s="17">
        <v>179.72750183739009</v>
      </c>
      <c r="H30" s="17">
        <v>226.92914682113337</v>
      </c>
      <c r="I30" s="17">
        <v>49.472313354979576</v>
      </c>
      <c r="J30" s="17">
        <v>0</v>
      </c>
      <c r="K30" s="76">
        <v>29343.774253622116</v>
      </c>
      <c r="L30" s="76">
        <v>13028.935396887031</v>
      </c>
      <c r="M30" s="17">
        <v>0</v>
      </c>
      <c r="N30" s="17">
        <v>0.83902419741310297</v>
      </c>
      <c r="O30" s="17">
        <v>2.0387129511574638</v>
      </c>
      <c r="P30" s="17">
        <v>13.948021901378656</v>
      </c>
      <c r="Q30" s="17">
        <v>43.366052347594895</v>
      </c>
      <c r="R30" s="17">
        <v>23.119483505487256</v>
      </c>
      <c r="S30" s="17">
        <v>7.3901207337595283</v>
      </c>
      <c r="T30" s="17">
        <v>0</v>
      </c>
      <c r="U30" s="76">
        <v>4543.3551012748649</v>
      </c>
      <c r="V30" s="76">
        <v>2017.2960570101325</v>
      </c>
      <c r="W30" s="76">
        <v>17037.11759378346</v>
      </c>
    </row>
    <row r="31" spans="1:25" x14ac:dyDescent="0.25">
      <c r="A31" s="97">
        <v>47</v>
      </c>
      <c r="B31" s="86">
        <v>33.7332238845825</v>
      </c>
      <c r="C31" s="87">
        <v>0</v>
      </c>
      <c r="D31" s="87">
        <v>0</v>
      </c>
      <c r="E31" s="87">
        <v>0.23707500880148194</v>
      </c>
      <c r="F31" s="87">
        <v>6.0709000852798436</v>
      </c>
      <c r="G31" s="87">
        <v>76.232963506867875</v>
      </c>
      <c r="H31" s="87">
        <v>256.69965822357238</v>
      </c>
      <c r="I31" s="87">
        <v>198.09379857424358</v>
      </c>
      <c r="J31" s="87">
        <v>5.5942703351488019</v>
      </c>
      <c r="K31" s="89">
        <v>36911.776057263363</v>
      </c>
      <c r="L31" s="89">
        <v>14553.145437958539</v>
      </c>
      <c r="M31" s="87">
        <v>0</v>
      </c>
      <c r="N31" s="87">
        <v>0</v>
      </c>
      <c r="O31" s="87">
        <v>0.19678584663917481</v>
      </c>
      <c r="P31" s="87">
        <v>4.1029113718729855</v>
      </c>
      <c r="Q31" s="87">
        <v>31.271464985055346</v>
      </c>
      <c r="R31" s="87">
        <v>35.306627769067504</v>
      </c>
      <c r="S31" s="87">
        <v>18.73568616788107</v>
      </c>
      <c r="T31" s="87">
        <v>0.31028454946716522</v>
      </c>
      <c r="U31" s="89">
        <v>5097.6241952641803</v>
      </c>
      <c r="V31" s="89">
        <v>2009.8319351159435</v>
      </c>
      <c r="W31" s="89">
        <v>20578.623691865101</v>
      </c>
    </row>
    <row r="32" spans="1:25" x14ac:dyDescent="0.25">
      <c r="A32" s="72">
        <v>53</v>
      </c>
      <c r="B32" s="16">
        <v>36.952181663513102</v>
      </c>
      <c r="C32" s="17">
        <v>0</v>
      </c>
      <c r="D32" s="17">
        <v>0</v>
      </c>
      <c r="E32" s="17">
        <v>0</v>
      </c>
      <c r="F32" s="17">
        <v>0.66367442204160543</v>
      </c>
      <c r="G32" s="17">
        <v>20.825070273044414</v>
      </c>
      <c r="H32" s="17">
        <v>165.26032373522952</v>
      </c>
      <c r="I32" s="17">
        <v>287.82114471804664</v>
      </c>
      <c r="J32" s="17">
        <v>122.05521100983312</v>
      </c>
      <c r="K32" s="76">
        <v>44590.102740078954</v>
      </c>
      <c r="L32" s="76">
        <v>15610.951326078559</v>
      </c>
      <c r="M32" s="17">
        <v>0</v>
      </c>
      <c r="N32" s="17">
        <v>0</v>
      </c>
      <c r="O32" s="17">
        <v>0</v>
      </c>
      <c r="P32" s="17">
        <v>0.59203952806148086</v>
      </c>
      <c r="Q32" s="17">
        <v>12.176128031148773</v>
      </c>
      <c r="R32" s="17">
        <v>42.041761478601117</v>
      </c>
      <c r="S32" s="17">
        <v>24.773670763724446</v>
      </c>
      <c r="T32" s="17">
        <v>8.7148823744689121</v>
      </c>
      <c r="U32" s="76">
        <v>5532.6335899799933</v>
      </c>
      <c r="V32" s="76">
        <v>1936.9696047049756</v>
      </c>
      <c r="W32" s="76">
        <v>23646.261515101065</v>
      </c>
    </row>
    <row r="33" spans="1:25" x14ac:dyDescent="0.25">
      <c r="A33" s="97">
        <v>59</v>
      </c>
      <c r="B33" s="86">
        <v>39.9346520767211</v>
      </c>
      <c r="C33" s="87">
        <v>0</v>
      </c>
      <c r="D33" s="87">
        <v>0</v>
      </c>
      <c r="E33" s="87">
        <v>0</v>
      </c>
      <c r="F33" s="87">
        <v>0</v>
      </c>
      <c r="G33" s="87">
        <v>2.8088996653113014</v>
      </c>
      <c r="H33" s="87">
        <v>54.443977507338126</v>
      </c>
      <c r="I33" s="87">
        <v>276.44534796658633</v>
      </c>
      <c r="J33" s="87">
        <v>314.55434845236795</v>
      </c>
      <c r="K33" s="89">
        <v>51842.117521988446</v>
      </c>
      <c r="L33" s="89">
        <v>16116.569237916905</v>
      </c>
      <c r="M33" s="87">
        <v>0</v>
      </c>
      <c r="N33" s="87">
        <v>0</v>
      </c>
      <c r="O33" s="87">
        <v>0</v>
      </c>
      <c r="P33" s="87">
        <v>0</v>
      </c>
      <c r="Q33" s="87">
        <v>2.0229442965816635</v>
      </c>
      <c r="R33" s="87">
        <v>24.019815926415156</v>
      </c>
      <c r="S33" s="87">
        <v>42.240254233774017</v>
      </c>
      <c r="T33" s="87">
        <v>18.881918331219143</v>
      </c>
      <c r="U33" s="89">
        <v>5957.4452767062039</v>
      </c>
      <c r="V33" s="89">
        <v>1852.0381472152085</v>
      </c>
      <c r="W33" s="89">
        <v>26088.849031644386</v>
      </c>
    </row>
    <row r="34" spans="1:25" x14ac:dyDescent="0.25">
      <c r="A34" s="72">
        <v>65</v>
      </c>
      <c r="B34" s="16">
        <v>42.7109277954101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11.983604584020963</v>
      </c>
      <c r="I34" s="17">
        <v>140.16529070565039</v>
      </c>
      <c r="J34" s="17">
        <v>545.07474525614623</v>
      </c>
      <c r="K34" s="76">
        <v>58051.267319967024</v>
      </c>
      <c r="L34" s="76">
        <v>16025.092342263913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5.0942593141690828</v>
      </c>
      <c r="S34" s="17">
        <v>41.636488470784279</v>
      </c>
      <c r="T34" s="17">
        <v>39.354037423322843</v>
      </c>
      <c r="U34" s="76">
        <v>6270.1476521125705</v>
      </c>
      <c r="V34" s="76">
        <v>1730.8785796339146</v>
      </c>
      <c r="W34" s="76">
        <v>27849.410283206602</v>
      </c>
    </row>
    <row r="35" spans="1:25" x14ac:dyDescent="0.25">
      <c r="A35" s="97">
        <v>71</v>
      </c>
      <c r="B35" s="86">
        <v>45.2915352592468</v>
      </c>
      <c r="C35" s="87">
        <v>0</v>
      </c>
      <c r="D35" s="87">
        <v>0</v>
      </c>
      <c r="E35" s="87">
        <v>0</v>
      </c>
      <c r="F35" s="87">
        <v>0</v>
      </c>
      <c r="G35" s="87">
        <v>0</v>
      </c>
      <c r="H35" s="87">
        <v>1.8662813977642929</v>
      </c>
      <c r="I35" s="87">
        <v>37.523315493586011</v>
      </c>
      <c r="J35" s="87">
        <v>704.32980992088403</v>
      </c>
      <c r="K35" s="89">
        <v>63056.586161014071</v>
      </c>
      <c r="L35" s="89">
        <v>15456.752737748764</v>
      </c>
      <c r="M35" s="87">
        <v>0</v>
      </c>
      <c r="N35" s="87">
        <v>0</v>
      </c>
      <c r="O35" s="87">
        <v>0</v>
      </c>
      <c r="P35" s="87">
        <v>0</v>
      </c>
      <c r="Q35" s="87">
        <v>0</v>
      </c>
      <c r="R35" s="87">
        <v>1.6266777175246256</v>
      </c>
      <c r="S35" s="87">
        <v>18.156986779007536</v>
      </c>
      <c r="T35" s="87">
        <v>63.988541966026006</v>
      </c>
      <c r="U35" s="89">
        <v>6327.7017399490342</v>
      </c>
      <c r="V35" s="89">
        <v>1551.0785969743015</v>
      </c>
      <c r="W35" s="89">
        <v>29011.949258325367</v>
      </c>
    </row>
    <row r="36" spans="1:25" x14ac:dyDescent="0.25">
      <c r="A36" s="72">
        <v>77</v>
      </c>
      <c r="B36" s="16">
        <v>47.694570224761897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5.6274806854842501</v>
      </c>
      <c r="J36" s="17">
        <v>783.30976959071688</v>
      </c>
      <c r="K36" s="76">
        <v>67210.473870390764</v>
      </c>
      <c r="L36" s="76">
        <v>14629.306257645265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3.8325955885547147</v>
      </c>
      <c r="T36" s="17">
        <v>78.737683594423444</v>
      </c>
      <c r="U36" s="76">
        <v>6370.4521697666369</v>
      </c>
      <c r="V36" s="76">
        <v>1386.618638798999</v>
      </c>
      <c r="W36" s="76">
        <v>29735.581375196169</v>
      </c>
    </row>
    <row r="37" spans="1:25" x14ac:dyDescent="0.25">
      <c r="A37" s="97">
        <v>83</v>
      </c>
      <c r="B37" s="91">
        <v>49.918650207519498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833.42733789185093</v>
      </c>
      <c r="K37" s="94">
        <v>71049.680555280298</v>
      </c>
      <c r="L37" s="94">
        <v>13732.445161571788</v>
      </c>
      <c r="M37" s="92">
        <v>0</v>
      </c>
      <c r="N37" s="92">
        <v>0</v>
      </c>
      <c r="O37" s="92">
        <v>0</v>
      </c>
      <c r="P37" s="92">
        <v>0</v>
      </c>
      <c r="Q37" s="92">
        <v>0</v>
      </c>
      <c r="R37" s="92">
        <v>0</v>
      </c>
      <c r="S37" s="92">
        <v>0</v>
      </c>
      <c r="T37" s="92">
        <v>833.42733789185093</v>
      </c>
      <c r="U37" s="94">
        <v>71049.680555280298</v>
      </c>
      <c r="V37" s="94">
        <v>13732.445161571788</v>
      </c>
      <c r="W37" s="94">
        <v>30225.33891792169</v>
      </c>
    </row>
    <row r="38" spans="1:25" s="6" customFormat="1" x14ac:dyDescent="0.25">
      <c r="A38" s="18" t="s">
        <v>13</v>
      </c>
      <c r="B38" s="19" t="s">
        <v>27</v>
      </c>
      <c r="C38" s="19" t="s">
        <v>27</v>
      </c>
      <c r="D38" s="19" t="s">
        <v>27</v>
      </c>
      <c r="E38" s="19" t="s">
        <v>27</v>
      </c>
      <c r="F38" s="19" t="s">
        <v>27</v>
      </c>
      <c r="G38" s="19" t="s">
        <v>27</v>
      </c>
      <c r="H38" s="19" t="s">
        <v>27</v>
      </c>
      <c r="I38" s="19" t="s">
        <v>27</v>
      </c>
      <c r="J38" s="19" t="s">
        <v>27</v>
      </c>
      <c r="K38" s="19" t="s">
        <v>27</v>
      </c>
      <c r="L38" s="19" t="s">
        <v>27</v>
      </c>
      <c r="M38" s="18">
        <v>16.53091850353541</v>
      </c>
      <c r="N38" s="18">
        <v>71.590835652770636</v>
      </c>
      <c r="O38" s="18">
        <v>40.870298695759047</v>
      </c>
      <c r="P38" s="18">
        <v>77.641948700472156</v>
      </c>
      <c r="Q38" s="18">
        <v>140.17059315097364</v>
      </c>
      <c r="R38" s="18">
        <v>143.57520207727879</v>
      </c>
      <c r="S38" s="18">
        <v>156.76580273748559</v>
      </c>
      <c r="T38" s="18">
        <v>1043.4146861307784</v>
      </c>
      <c r="U38" s="19" t="s">
        <v>27</v>
      </c>
      <c r="V38" s="77">
        <v>30225.33891792169</v>
      </c>
      <c r="W38" s="20" t="s">
        <v>27</v>
      </c>
    </row>
    <row r="39" spans="1:25" x14ac:dyDescent="0.25">
      <c r="A39"/>
      <c r="V39" s="2"/>
    </row>
    <row r="40" spans="1:25" x14ac:dyDescent="0.25">
      <c r="H40" s="8"/>
      <c r="I40" s="8"/>
      <c r="J40" s="8"/>
      <c r="W40" s="8" t="s">
        <v>75</v>
      </c>
    </row>
    <row r="41" spans="1:25" x14ac:dyDescent="0.25">
      <c r="V41" s="2"/>
      <c r="W41" s="8" t="s">
        <v>76</v>
      </c>
      <c r="X41" s="2"/>
      <c r="Y41" s="2"/>
    </row>
    <row r="42" spans="1: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V42" s="2"/>
      <c r="W42" s="8"/>
      <c r="X42" s="2"/>
      <c r="Y42" s="8"/>
    </row>
    <row r="43" spans="1:25" x14ac:dyDescent="0.25">
      <c r="V43" s="2"/>
      <c r="W43" s="2"/>
      <c r="X43" s="2"/>
      <c r="Y43" s="2"/>
    </row>
    <row r="44" spans="1:25" x14ac:dyDescent="0.25"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V45" s="2"/>
      <c r="W45" s="2"/>
      <c r="X45" s="2"/>
      <c r="Y45" s="2"/>
    </row>
    <row r="46" spans="1:25" x14ac:dyDescent="0.25">
      <c r="V46" s="2"/>
      <c r="W46" s="2"/>
      <c r="X46" s="2"/>
      <c r="Y46" s="2"/>
    </row>
  </sheetData>
  <mergeCells count="17">
    <mergeCell ref="D1:T1"/>
    <mergeCell ref="K6:N6"/>
    <mergeCell ref="U6:U7"/>
    <mergeCell ref="V6:V7"/>
    <mergeCell ref="W6:W7"/>
    <mergeCell ref="W23:W24"/>
    <mergeCell ref="O6:T6"/>
    <mergeCell ref="A23:A24"/>
    <mergeCell ref="A6:A7"/>
    <mergeCell ref="B6:B7"/>
    <mergeCell ref="C6:F6"/>
    <mergeCell ref="G6:J6"/>
    <mergeCell ref="B23:B24"/>
    <mergeCell ref="C23:J23"/>
    <mergeCell ref="K23:L23"/>
    <mergeCell ref="M23:T23"/>
    <mergeCell ref="U23:V23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A46"/>
  <sheetViews>
    <sheetView workbookViewId="0">
      <selection activeCell="W23" sqref="W23:W24"/>
    </sheetView>
  </sheetViews>
  <sheetFormatPr defaultColWidth="11.42578125" defaultRowHeight="15" x14ac:dyDescent="0.25"/>
  <cols>
    <col min="1" max="21" width="6.7109375" style="2" customWidth="1"/>
    <col min="22" max="23" width="6.7109375" customWidth="1"/>
  </cols>
  <sheetData>
    <row r="1" spans="1:27" ht="30.75" customHeight="1" x14ac:dyDescent="0.4">
      <c r="D1" s="135" t="s">
        <v>68</v>
      </c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</row>
    <row r="2" spans="1:27" x14ac:dyDescent="0.25">
      <c r="A2" s="5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U2" s="8"/>
      <c r="V2" s="8"/>
      <c r="W2" s="8"/>
    </row>
    <row r="3" spans="1:27" x14ac:dyDescent="0.25">
      <c r="A3" s="5" t="s">
        <v>78</v>
      </c>
      <c r="B3" s="5"/>
      <c r="C3" s="5"/>
      <c r="D3" s="7"/>
      <c r="E3" s="7" t="s">
        <v>79</v>
      </c>
      <c r="F3" s="7"/>
      <c r="G3" s="7"/>
      <c r="H3" s="7"/>
      <c r="I3" s="7"/>
      <c r="J3" s="7"/>
      <c r="K3" s="7" t="s">
        <v>83</v>
      </c>
      <c r="L3" s="7"/>
      <c r="M3" s="7"/>
      <c r="N3" s="7"/>
      <c r="R3" s="7" t="s">
        <v>82</v>
      </c>
      <c r="V3" s="2"/>
      <c r="W3" s="2"/>
    </row>
    <row r="4" spans="1:27" x14ac:dyDescent="0.25">
      <c r="A4" s="7"/>
      <c r="B4" s="7"/>
      <c r="C4" s="7"/>
      <c r="D4" s="7"/>
      <c r="E4" s="7" t="s">
        <v>33</v>
      </c>
      <c r="F4" s="7"/>
      <c r="G4" s="7"/>
      <c r="H4" s="7"/>
      <c r="I4" s="7"/>
      <c r="J4" s="7"/>
      <c r="K4" s="7" t="s">
        <v>80</v>
      </c>
      <c r="L4" s="7"/>
      <c r="M4" s="7"/>
      <c r="N4" s="7"/>
      <c r="O4" s="1"/>
      <c r="P4" s="1"/>
      <c r="Q4" s="1"/>
      <c r="R4" s="7" t="s">
        <v>81</v>
      </c>
      <c r="S4" s="1"/>
      <c r="T4" s="1"/>
      <c r="U4" s="1"/>
      <c r="V4" s="1"/>
      <c r="W4" s="7"/>
    </row>
    <row r="5" spans="1:27" x14ac:dyDescent="0.25">
      <c r="A5" s="5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7" x14ac:dyDescent="0.25">
      <c r="A6" s="151" t="s">
        <v>1</v>
      </c>
      <c r="B6" s="151" t="s">
        <v>2</v>
      </c>
      <c r="C6" s="153" t="s">
        <v>104</v>
      </c>
      <c r="D6" s="154"/>
      <c r="E6" s="154"/>
      <c r="F6" s="154"/>
      <c r="G6" s="154" t="s">
        <v>102</v>
      </c>
      <c r="H6" s="154"/>
      <c r="I6" s="154"/>
      <c r="J6" s="154"/>
      <c r="K6" s="154" t="s">
        <v>103</v>
      </c>
      <c r="L6" s="154"/>
      <c r="M6" s="154"/>
      <c r="N6" s="154"/>
      <c r="O6" s="148" t="s">
        <v>3</v>
      </c>
      <c r="P6" s="149"/>
      <c r="Q6" s="149"/>
      <c r="R6" s="149"/>
      <c r="S6" s="149"/>
      <c r="T6" s="150"/>
      <c r="U6" s="141" t="s">
        <v>14</v>
      </c>
      <c r="V6" s="143" t="s">
        <v>63</v>
      </c>
      <c r="W6" s="141" t="s">
        <v>29</v>
      </c>
    </row>
    <row r="7" spans="1:27" x14ac:dyDescent="0.25">
      <c r="A7" s="152"/>
      <c r="B7" s="152"/>
      <c r="C7" s="74" t="s">
        <v>4</v>
      </c>
      <c r="D7" s="74" t="s">
        <v>5</v>
      </c>
      <c r="E7" s="74" t="s">
        <v>6</v>
      </c>
      <c r="F7" s="74" t="s">
        <v>7</v>
      </c>
      <c r="G7" s="74" t="s">
        <v>4</v>
      </c>
      <c r="H7" s="74" t="s">
        <v>5</v>
      </c>
      <c r="I7" s="74" t="s">
        <v>6</v>
      </c>
      <c r="J7" s="74" t="s">
        <v>7</v>
      </c>
      <c r="K7" s="74" t="s">
        <v>4</v>
      </c>
      <c r="L7" s="74" t="s">
        <v>5</v>
      </c>
      <c r="M7" s="74" t="s">
        <v>6</v>
      </c>
      <c r="N7" s="74" t="s">
        <v>7</v>
      </c>
      <c r="O7" s="73" t="s">
        <v>16</v>
      </c>
      <c r="P7" s="74" t="s">
        <v>8</v>
      </c>
      <c r="Q7" s="74" t="s">
        <v>9</v>
      </c>
      <c r="R7" s="74" t="s">
        <v>10</v>
      </c>
      <c r="S7" s="74" t="s">
        <v>11</v>
      </c>
      <c r="T7" s="74" t="s">
        <v>12</v>
      </c>
      <c r="U7" s="142"/>
      <c r="V7" s="144"/>
      <c r="W7" s="145"/>
    </row>
    <row r="8" spans="1:27" s="78" customFormat="1" ht="12" customHeight="1" x14ac:dyDescent="0.2">
      <c r="A8" s="81" t="s">
        <v>60</v>
      </c>
      <c r="B8" s="81" t="s">
        <v>58</v>
      </c>
      <c r="C8" s="81" t="s">
        <v>59</v>
      </c>
      <c r="D8" s="81" t="s">
        <v>54</v>
      </c>
      <c r="E8" s="81" t="s">
        <v>53</v>
      </c>
      <c r="F8" s="81" t="s">
        <v>57</v>
      </c>
      <c r="G8" s="81" t="s">
        <v>59</v>
      </c>
      <c r="H8" s="81" t="s">
        <v>54</v>
      </c>
      <c r="I8" s="81" t="s">
        <v>53</v>
      </c>
      <c r="J8" s="81" t="s">
        <v>57</v>
      </c>
      <c r="K8" s="81" t="s">
        <v>59</v>
      </c>
      <c r="L8" s="81" t="s">
        <v>54</v>
      </c>
      <c r="M8" s="81" t="s">
        <v>53</v>
      </c>
      <c r="N8" s="81" t="s">
        <v>57</v>
      </c>
      <c r="O8" s="81" t="s">
        <v>55</v>
      </c>
      <c r="P8" s="81" t="s">
        <v>52</v>
      </c>
      <c r="Q8" s="81" t="s">
        <v>52</v>
      </c>
      <c r="R8" s="81" t="s">
        <v>56</v>
      </c>
      <c r="S8" s="81" t="s">
        <v>56</v>
      </c>
      <c r="T8" s="81" t="s">
        <v>57</v>
      </c>
      <c r="U8" s="79"/>
      <c r="V8" s="80" t="s">
        <v>62</v>
      </c>
      <c r="W8" s="81" t="s">
        <v>58</v>
      </c>
    </row>
    <row r="9" spans="1:27" x14ac:dyDescent="0.25">
      <c r="A9" s="14">
        <v>19</v>
      </c>
      <c r="B9" s="11">
        <v>13.0804349126815</v>
      </c>
      <c r="C9" s="10">
        <v>1613.7649999999999</v>
      </c>
      <c r="D9" s="10">
        <v>44.377803635581991</v>
      </c>
      <c r="E9" s="11">
        <v>25.290769086922378</v>
      </c>
      <c r="F9" s="10">
        <v>136.83414661849682</v>
      </c>
      <c r="G9" s="10">
        <v>526.83499999999981</v>
      </c>
      <c r="H9" s="10">
        <v>43.003642995656435</v>
      </c>
      <c r="I9" s="11">
        <v>7.7530975971184475</v>
      </c>
      <c r="J9" s="10">
        <v>41.490670498951218</v>
      </c>
      <c r="K9" s="10">
        <v>1086.93</v>
      </c>
      <c r="L9" s="10">
        <v>45.028772646159176</v>
      </c>
      <c r="M9" s="11">
        <v>17.53767148980393</v>
      </c>
      <c r="N9" s="10">
        <v>95.343476119545599</v>
      </c>
      <c r="O9" s="11">
        <v>2.2522021963464347</v>
      </c>
      <c r="P9" s="12">
        <v>2.0053328398052255</v>
      </c>
      <c r="Q9" s="12">
        <v>1.3310931098380199</v>
      </c>
      <c r="R9" s="11">
        <v>19.361520118939954</v>
      </c>
      <c r="S9" s="11">
        <v>7.2017971904472011</v>
      </c>
      <c r="T9" s="75">
        <v>136.83414661849682</v>
      </c>
      <c r="U9" s="10">
        <v>91.260311601996989</v>
      </c>
      <c r="V9" s="11">
        <v>32.646327067447849</v>
      </c>
      <c r="W9" s="16">
        <v>3.2593717441541981</v>
      </c>
      <c r="Y9" s="9"/>
      <c r="Z9" s="9"/>
      <c r="AA9" s="9"/>
    </row>
    <row r="10" spans="1:27" x14ac:dyDescent="0.25">
      <c r="A10" s="85">
        <v>25</v>
      </c>
      <c r="B10" s="86">
        <v>17.075217473983699</v>
      </c>
      <c r="C10" s="87">
        <v>1084.23</v>
      </c>
      <c r="D10" s="87">
        <v>58.541985824237784</v>
      </c>
      <c r="E10" s="86">
        <v>29.569668528635283</v>
      </c>
      <c r="F10" s="87">
        <v>211.51259683318531</v>
      </c>
      <c r="G10" s="87">
        <v>290.69999999999993</v>
      </c>
      <c r="H10" s="87">
        <v>49.813943189803908</v>
      </c>
      <c r="I10" s="86">
        <v>5.7403319849961356</v>
      </c>
      <c r="J10" s="87">
        <v>38.758455527829312</v>
      </c>
      <c r="K10" s="87">
        <v>793.53000000000009</v>
      </c>
      <c r="L10" s="87">
        <v>61.429818525544121</v>
      </c>
      <c r="M10" s="86">
        <v>23.829336543639148</v>
      </c>
      <c r="N10" s="87">
        <v>172.754141305356</v>
      </c>
      <c r="O10" s="86">
        <v>2.2026628338408067</v>
      </c>
      <c r="P10" s="88">
        <v>1.8680911422795301</v>
      </c>
      <c r="Q10" s="88">
        <v>1.4929106450301493</v>
      </c>
      <c r="R10" s="86">
        <v>21.4842571644858</v>
      </c>
      <c r="S10" s="86">
        <v>10.120130693285462</v>
      </c>
      <c r="T10" s="89">
        <v>253.00326733213655</v>
      </c>
      <c r="U10" s="87">
        <v>87.324656107211098</v>
      </c>
      <c r="V10" s="86">
        <v>26.811654353781016</v>
      </c>
      <c r="W10" s="86">
        <v>3.8146351742960745</v>
      </c>
    </row>
    <row r="11" spans="1:27" x14ac:dyDescent="0.25">
      <c r="A11" s="15">
        <v>31</v>
      </c>
      <c r="B11" s="16">
        <v>20.9218907985687</v>
      </c>
      <c r="C11" s="17">
        <v>790.2</v>
      </c>
      <c r="D11" s="17">
        <v>74.645795528588962</v>
      </c>
      <c r="E11" s="16">
        <v>35.037883397316328</v>
      </c>
      <c r="F11" s="17">
        <v>301.65968429227081</v>
      </c>
      <c r="G11" s="17">
        <v>208.8900000000001</v>
      </c>
      <c r="H11" s="17">
        <v>63.576642318113905</v>
      </c>
      <c r="I11" s="16">
        <v>6.7189740124405475</v>
      </c>
      <c r="J11" s="17">
        <v>55.902144754663198</v>
      </c>
      <c r="K11" s="17">
        <v>581.30999999999995</v>
      </c>
      <c r="L11" s="17">
        <v>78.241883563617336</v>
      </c>
      <c r="M11" s="16">
        <v>28.318909384875781</v>
      </c>
      <c r="N11" s="17">
        <v>245.75753953760761</v>
      </c>
      <c r="O11" s="16">
        <v>2.2140812179587805</v>
      </c>
      <c r="P11" s="13">
        <v>1.7067952363629455</v>
      </c>
      <c r="Q11" s="13">
        <v>1.5655262251429325</v>
      </c>
      <c r="R11" s="16">
        <v>22.279355665647</v>
      </c>
      <c r="S11" s="16">
        <v>12.319639042550042</v>
      </c>
      <c r="T11" s="76">
        <v>381.90881031905133</v>
      </c>
      <c r="U11" s="17">
        <v>84.006232261201632</v>
      </c>
      <c r="V11" s="16">
        <v>26.435079726651495</v>
      </c>
      <c r="W11" s="16">
        <v>4.4568784211444923</v>
      </c>
    </row>
    <row r="12" spans="1:27" x14ac:dyDescent="0.25">
      <c r="A12" s="85">
        <v>37</v>
      </c>
      <c r="B12" s="86">
        <v>24.535271406173699</v>
      </c>
      <c r="C12" s="87">
        <v>578.43000000000006</v>
      </c>
      <c r="D12" s="87">
        <v>91.52637087137002</v>
      </c>
      <c r="E12" s="86">
        <v>38.559680803053453</v>
      </c>
      <c r="F12" s="87">
        <v>379.4336735314896</v>
      </c>
      <c r="G12" s="87">
        <v>147.96000000000004</v>
      </c>
      <c r="H12" s="87">
        <v>79.015557825892373</v>
      </c>
      <c r="I12" s="86">
        <v>7.351224391175851</v>
      </c>
      <c r="J12" s="87">
        <v>70.951493834574308</v>
      </c>
      <c r="K12" s="87">
        <v>430.47</v>
      </c>
      <c r="L12" s="87">
        <v>95.4486150547352</v>
      </c>
      <c r="M12" s="86">
        <v>31.208456411877602</v>
      </c>
      <c r="N12" s="87">
        <v>308.4821796969153</v>
      </c>
      <c r="O12" s="86">
        <v>2.2583982066013726</v>
      </c>
      <c r="P12" s="88">
        <v>1.5504693981541948</v>
      </c>
      <c r="Q12" s="88">
        <v>1.5884347134488805</v>
      </c>
      <c r="R12" s="86">
        <v>22.26735690431326</v>
      </c>
      <c r="S12" s="86">
        <v>13.934728224673874</v>
      </c>
      <c r="T12" s="89">
        <v>515.58494431293332</v>
      </c>
      <c r="U12" s="87">
        <v>80.755313588641826</v>
      </c>
      <c r="V12" s="86">
        <v>25.579586121051815</v>
      </c>
      <c r="W12" s="86">
        <v>5.1792066417947042</v>
      </c>
    </row>
    <row r="13" spans="1:27" x14ac:dyDescent="0.25">
      <c r="A13" s="15">
        <v>43</v>
      </c>
      <c r="B13" s="16">
        <v>27.900045450210499</v>
      </c>
      <c r="C13" s="17">
        <v>428.49</v>
      </c>
      <c r="D13" s="17">
        <v>108.99900429434344</v>
      </c>
      <c r="E13" s="16">
        <v>40.511272800802772</v>
      </c>
      <c r="F13" s="17">
        <v>442.08632112279486</v>
      </c>
      <c r="G13" s="17">
        <v>102.87</v>
      </c>
      <c r="H13" s="17">
        <v>95.050115370459793</v>
      </c>
      <c r="I13" s="16">
        <v>7.3957832124691549</v>
      </c>
      <c r="J13" s="17">
        <v>79.715238477089429</v>
      </c>
      <c r="K13" s="17">
        <v>325.62</v>
      </c>
      <c r="L13" s="17">
        <v>113.04854734567265</v>
      </c>
      <c r="M13" s="16">
        <v>33.115489588333617</v>
      </c>
      <c r="N13" s="17">
        <v>362.37108264570543</v>
      </c>
      <c r="O13" s="16">
        <v>2.3092003706369177</v>
      </c>
      <c r="P13" s="13">
        <v>1.4127113809099505</v>
      </c>
      <c r="Q13" s="13">
        <v>1.5831372275938085</v>
      </c>
      <c r="R13" s="16">
        <v>21.877707910712701</v>
      </c>
      <c r="S13" s="16">
        <v>15.097420598577044</v>
      </c>
      <c r="T13" s="76">
        <v>649.18908573881288</v>
      </c>
      <c r="U13" s="17">
        <v>77.53357285803088</v>
      </c>
      <c r="V13" s="16">
        <v>24.007561436672969</v>
      </c>
      <c r="W13" s="16">
        <v>5.9549641071918096</v>
      </c>
      <c r="Y13" s="9"/>
      <c r="AA13" s="9"/>
    </row>
    <row r="14" spans="1:27" x14ac:dyDescent="0.25">
      <c r="A14" s="85">
        <v>49</v>
      </c>
      <c r="B14" s="86">
        <v>31.0370640735626</v>
      </c>
      <c r="C14" s="87">
        <v>324.54000000000002</v>
      </c>
      <c r="D14" s="87">
        <v>126.90374956949415</v>
      </c>
      <c r="E14" s="86">
        <v>41.59175787379332</v>
      </c>
      <c r="F14" s="87">
        <v>493.63733010998163</v>
      </c>
      <c r="G14" s="87">
        <v>68.490000000000009</v>
      </c>
      <c r="H14" s="87">
        <v>111.29724846767213</v>
      </c>
      <c r="I14" s="86">
        <v>6.7512805816337078</v>
      </c>
      <c r="J14" s="87">
        <v>79.532940797466324</v>
      </c>
      <c r="K14" s="87">
        <v>256.05</v>
      </c>
      <c r="L14" s="87">
        <v>130.76291393804195</v>
      </c>
      <c r="M14" s="86">
        <v>34.840477292159612</v>
      </c>
      <c r="N14" s="87">
        <v>414.10438931251531</v>
      </c>
      <c r="O14" s="86">
        <v>2.3514913737828258</v>
      </c>
      <c r="P14" s="88">
        <v>1.3006220034491847</v>
      </c>
      <c r="Q14" s="88">
        <v>1.5622687565712949</v>
      </c>
      <c r="R14" s="86">
        <v>21.453762471671251</v>
      </c>
      <c r="S14" s="86">
        <v>15.927659861287534</v>
      </c>
      <c r="T14" s="89">
        <v>780.45533320308914</v>
      </c>
      <c r="U14" s="87">
        <v>74.566870335040221</v>
      </c>
      <c r="V14" s="86">
        <v>21.103716028840822</v>
      </c>
      <c r="W14" s="86">
        <v>6.7154063045186376</v>
      </c>
      <c r="Y14" s="9"/>
    </row>
    <row r="15" spans="1:27" x14ac:dyDescent="0.25">
      <c r="A15" s="15">
        <v>55</v>
      </c>
      <c r="B15" s="16">
        <v>33.954784557342499</v>
      </c>
      <c r="C15" s="17">
        <v>255.32999999999998</v>
      </c>
      <c r="D15" s="17">
        <v>144.8718621807389</v>
      </c>
      <c r="E15" s="16">
        <v>42.64420931285472</v>
      </c>
      <c r="F15" s="17">
        <v>542.82696414254281</v>
      </c>
      <c r="G15" s="17">
        <v>46.889999999999986</v>
      </c>
      <c r="H15" s="17">
        <v>129.57078164983207</v>
      </c>
      <c r="I15" s="16">
        <v>6.2644727744663413</v>
      </c>
      <c r="J15" s="17">
        <v>79.561728476322287</v>
      </c>
      <c r="K15" s="17">
        <v>208.44</v>
      </c>
      <c r="L15" s="17">
        <v>148.0962884742913</v>
      </c>
      <c r="M15" s="16">
        <v>36.379736538388379</v>
      </c>
      <c r="N15" s="17">
        <v>463.26523566622052</v>
      </c>
      <c r="O15" s="16">
        <v>2.3653497205900273</v>
      </c>
      <c r="P15" s="13">
        <v>1.2020553274974013</v>
      </c>
      <c r="Q15" s="13">
        <v>1.5337254744125193</v>
      </c>
      <c r="R15" s="16">
        <v>20.935077190177349</v>
      </c>
      <c r="S15" s="16">
        <v>16.530507418783937</v>
      </c>
      <c r="T15" s="76">
        <v>909.17790803311664</v>
      </c>
      <c r="U15" s="17">
        <v>72.028882572630479</v>
      </c>
      <c r="V15" s="16">
        <v>18.364469510045819</v>
      </c>
      <c r="W15" s="16">
        <v>7.4429337256106773</v>
      </c>
      <c r="Y15" s="9"/>
    </row>
    <row r="16" spans="1:27" x14ac:dyDescent="0.25">
      <c r="A16" s="85">
        <v>61</v>
      </c>
      <c r="B16" s="86">
        <v>36.672018920898402</v>
      </c>
      <c r="C16" s="87">
        <v>207.99</v>
      </c>
      <c r="D16" s="87">
        <v>162.28838679783146</v>
      </c>
      <c r="E16" s="86">
        <v>43.592068503372786</v>
      </c>
      <c r="F16" s="87">
        <v>588.87569880728461</v>
      </c>
      <c r="G16" s="87">
        <v>34.379999999999995</v>
      </c>
      <c r="H16" s="87">
        <v>145.07872361853435</v>
      </c>
      <c r="I16" s="86">
        <v>5.7584216278130498</v>
      </c>
      <c r="J16" s="87">
        <v>77.583731868092627</v>
      </c>
      <c r="K16" s="87">
        <v>173.61</v>
      </c>
      <c r="L16" s="87">
        <v>165.48425017537807</v>
      </c>
      <c r="M16" s="86">
        <v>37.833646875559737</v>
      </c>
      <c r="N16" s="87">
        <v>511.29196693919198</v>
      </c>
      <c r="O16" s="86">
        <v>2.3740752419467319</v>
      </c>
      <c r="P16" s="88">
        <v>1.1206932525750599</v>
      </c>
      <c r="Q16" s="88">
        <v>1.5011021812733276</v>
      </c>
      <c r="R16" s="86">
        <v>20.466508597105797</v>
      </c>
      <c r="S16" s="86">
        <v>16.963743789740665</v>
      </c>
      <c r="T16" s="89">
        <v>1034.7883711741806</v>
      </c>
      <c r="U16" s="87">
        <v>69.61903934187319</v>
      </c>
      <c r="V16" s="86">
        <v>16.529640848117694</v>
      </c>
      <c r="W16" s="86">
        <v>8.1554384727110563</v>
      </c>
      <c r="Y16" s="9"/>
    </row>
    <row r="17" spans="1:25" x14ac:dyDescent="0.25">
      <c r="A17" s="15">
        <v>67</v>
      </c>
      <c r="B17" s="16">
        <v>39.227337989807097</v>
      </c>
      <c r="C17" s="17">
        <v>173.34</v>
      </c>
      <c r="D17" s="17">
        <v>179.72870162705846</v>
      </c>
      <c r="E17" s="16">
        <v>44.557806391010097</v>
      </c>
      <c r="F17" s="17">
        <v>634.09101852182675</v>
      </c>
      <c r="G17" s="17">
        <v>25.379999999999995</v>
      </c>
      <c r="H17" s="17">
        <v>163.95268734788397</v>
      </c>
      <c r="I17" s="16">
        <v>5.4289873898588681</v>
      </c>
      <c r="J17" s="17">
        <v>77.342056131614413</v>
      </c>
      <c r="K17" s="17">
        <v>147.96</v>
      </c>
      <c r="L17" s="17">
        <v>182.29767960573557</v>
      </c>
      <c r="M17" s="16">
        <v>39.128819001151228</v>
      </c>
      <c r="N17" s="17">
        <v>556.74896239021234</v>
      </c>
      <c r="O17" s="16">
        <v>2.362134982982051</v>
      </c>
      <c r="P17" s="13">
        <v>1.0534468886794812</v>
      </c>
      <c r="Q17" s="13">
        <v>1.4670357100466169</v>
      </c>
      <c r="R17" s="16">
        <v>20.040721822697247</v>
      </c>
      <c r="S17" s="16">
        <v>17.277424220250975</v>
      </c>
      <c r="T17" s="76">
        <v>1157.5874227568154</v>
      </c>
      <c r="U17" s="17">
        <v>67.601692525758537</v>
      </c>
      <c r="V17" s="16">
        <v>14.641744548286601</v>
      </c>
      <c r="W17" s="16">
        <v>8.83410430758118</v>
      </c>
      <c r="Y17" s="9"/>
    </row>
    <row r="18" spans="1:25" x14ac:dyDescent="0.25">
      <c r="A18" s="85">
        <v>73</v>
      </c>
      <c r="B18" s="86">
        <v>41.618616699218698</v>
      </c>
      <c r="C18" s="87">
        <v>147.96</v>
      </c>
      <c r="D18" s="87">
        <v>196.47048950362787</v>
      </c>
      <c r="E18" s="86">
        <v>45.449500333228116</v>
      </c>
      <c r="F18" s="87">
        <v>676.99329332639581</v>
      </c>
      <c r="G18" s="87">
        <v>19.800000000000011</v>
      </c>
      <c r="H18" s="87">
        <v>179.8639687533877</v>
      </c>
      <c r="I18" s="86">
        <v>5.0973407940978035</v>
      </c>
      <c r="J18" s="87">
        <v>76.08353241492182</v>
      </c>
      <c r="K18" s="87">
        <v>128.16</v>
      </c>
      <c r="L18" s="87">
        <v>198.91249900676382</v>
      </c>
      <c r="M18" s="86">
        <v>40.352159539130312</v>
      </c>
      <c r="N18" s="87">
        <v>600.909760911474</v>
      </c>
      <c r="O18" s="86">
        <v>2.3624415058026074</v>
      </c>
      <c r="P18" s="88">
        <v>0.99266004766865967</v>
      </c>
      <c r="Q18" s="88">
        <v>1.4330421082904139</v>
      </c>
      <c r="R18" s="86">
        <v>19.604400354169059</v>
      </c>
      <c r="S18" s="86">
        <v>17.504544571136972</v>
      </c>
      <c r="T18" s="89">
        <v>1277.831753692999</v>
      </c>
      <c r="U18" s="87">
        <v>65.731787156516987</v>
      </c>
      <c r="V18" s="86">
        <v>13.381995133819958</v>
      </c>
      <c r="W18" s="86">
        <v>9.4920154137627772</v>
      </c>
      <c r="Y18" s="9"/>
    </row>
    <row r="19" spans="1:25" x14ac:dyDescent="0.25">
      <c r="A19" s="15">
        <v>79</v>
      </c>
      <c r="B19" s="16">
        <v>43.872512954711901</v>
      </c>
      <c r="C19" s="17">
        <v>128.16</v>
      </c>
      <c r="D19" s="17">
        <v>213.08714804157947</v>
      </c>
      <c r="E19" s="16">
        <v>46.308119825142271</v>
      </c>
      <c r="F19" s="17">
        <v>718.53616303648835</v>
      </c>
      <c r="G19" s="17">
        <v>15.749999999999986</v>
      </c>
      <c r="H19" s="17">
        <v>196.25552164894114</v>
      </c>
      <c r="I19" s="16">
        <v>4.8274130822273094</v>
      </c>
      <c r="J19" s="17">
        <v>75.160680965567167</v>
      </c>
      <c r="K19" s="17">
        <v>112.41000000000001</v>
      </c>
      <c r="L19" s="17">
        <v>215.34040807762457</v>
      </c>
      <c r="M19" s="16">
        <v>41.480706742914961</v>
      </c>
      <c r="N19" s="17">
        <v>643.37548207092118</v>
      </c>
      <c r="O19" s="16">
        <v>2.3621413909908333</v>
      </c>
      <c r="P19" s="13">
        <v>0.93997898860753537</v>
      </c>
      <c r="Q19" s="13">
        <v>1.3995953695090149</v>
      </c>
      <c r="R19" s="16">
        <v>19.202582360261868</v>
      </c>
      <c r="S19" s="16">
        <v>17.664027288835609</v>
      </c>
      <c r="T19" s="76">
        <v>1395.4581558180132</v>
      </c>
      <c r="U19" s="17">
        <v>64.005434754893756</v>
      </c>
      <c r="V19" s="16">
        <v>12.289325842696618</v>
      </c>
      <c r="W19" s="16">
        <v>10.135197365441021</v>
      </c>
      <c r="Y19" s="9"/>
    </row>
    <row r="20" spans="1:25" x14ac:dyDescent="0.25">
      <c r="A20" s="90">
        <v>85</v>
      </c>
      <c r="B20" s="91">
        <v>46.002179840087798</v>
      </c>
      <c r="C20" s="92">
        <v>112.41000000000001</v>
      </c>
      <c r="D20" s="92">
        <v>229.51325642356957</v>
      </c>
      <c r="E20" s="91">
        <v>47.120580674560173</v>
      </c>
      <c r="F20" s="92">
        <v>758.59097623249238</v>
      </c>
      <c r="G20" s="92">
        <v>112.41000000000001</v>
      </c>
      <c r="H20" s="92">
        <v>229.51325642356957</v>
      </c>
      <c r="I20" s="91">
        <v>47.120580674560173</v>
      </c>
      <c r="J20" s="92">
        <v>758.59097623249238</v>
      </c>
      <c r="K20" s="92" t="s">
        <v>27</v>
      </c>
      <c r="L20" s="92" t="s">
        <v>27</v>
      </c>
      <c r="M20" s="91" t="s">
        <v>27</v>
      </c>
      <c r="N20" s="92" t="s">
        <v>27</v>
      </c>
      <c r="O20" s="91" t="s">
        <v>27</v>
      </c>
      <c r="P20" s="93" t="s">
        <v>27</v>
      </c>
      <c r="Q20" s="93">
        <v>1.3671518602689106</v>
      </c>
      <c r="R20" s="91" t="s">
        <v>27</v>
      </c>
      <c r="S20" s="91">
        <v>17.772631176230405</v>
      </c>
      <c r="T20" s="94">
        <v>1510.6736499795843</v>
      </c>
      <c r="U20" s="92">
        <v>62.968088417525934</v>
      </c>
      <c r="V20" s="95" t="s">
        <v>27</v>
      </c>
      <c r="W20" s="96" t="s">
        <v>27</v>
      </c>
    </row>
    <row r="22" spans="1:25" x14ac:dyDescent="0.25">
      <c r="A22" s="5" t="s">
        <v>30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5" ht="15" customHeight="1" x14ac:dyDescent="0.25">
      <c r="A23" s="141" t="s">
        <v>1</v>
      </c>
      <c r="B23" s="141" t="s">
        <v>2</v>
      </c>
      <c r="C23" s="146" t="s">
        <v>31</v>
      </c>
      <c r="D23" s="155"/>
      <c r="E23" s="155"/>
      <c r="F23" s="155"/>
      <c r="G23" s="155"/>
      <c r="H23" s="155"/>
      <c r="I23" s="155"/>
      <c r="J23" s="147"/>
      <c r="K23" s="146" t="s">
        <v>109</v>
      </c>
      <c r="L23" s="147"/>
      <c r="M23" s="146" t="s">
        <v>32</v>
      </c>
      <c r="N23" s="155"/>
      <c r="O23" s="155"/>
      <c r="P23" s="155"/>
      <c r="Q23" s="155"/>
      <c r="R23" s="155"/>
      <c r="S23" s="155"/>
      <c r="T23" s="147"/>
      <c r="U23" s="146" t="s">
        <v>110</v>
      </c>
      <c r="V23" s="147"/>
      <c r="W23" s="143" t="s">
        <v>107</v>
      </c>
    </row>
    <row r="24" spans="1:25" x14ac:dyDescent="0.25">
      <c r="A24" s="145"/>
      <c r="B24" s="145"/>
      <c r="C24" s="82" t="s">
        <v>19</v>
      </c>
      <c r="D24" s="82" t="s">
        <v>20</v>
      </c>
      <c r="E24" s="82" t="s">
        <v>21</v>
      </c>
      <c r="F24" s="82" t="s">
        <v>22</v>
      </c>
      <c r="G24" s="82" t="s">
        <v>23</v>
      </c>
      <c r="H24" s="82" t="s">
        <v>24</v>
      </c>
      <c r="I24" s="82" t="s">
        <v>25</v>
      </c>
      <c r="J24" s="82" t="s">
        <v>26</v>
      </c>
      <c r="K24" s="98" t="s">
        <v>109</v>
      </c>
      <c r="L24" s="98" t="s">
        <v>106</v>
      </c>
      <c r="M24" s="82" t="s">
        <v>19</v>
      </c>
      <c r="N24" s="82" t="s">
        <v>20</v>
      </c>
      <c r="O24" s="82" t="s">
        <v>21</v>
      </c>
      <c r="P24" s="82" t="s">
        <v>22</v>
      </c>
      <c r="Q24" s="82" t="s">
        <v>23</v>
      </c>
      <c r="R24" s="82" t="s">
        <v>24</v>
      </c>
      <c r="S24" s="82" t="s">
        <v>25</v>
      </c>
      <c r="T24" s="82" t="s">
        <v>26</v>
      </c>
      <c r="U24" s="98" t="s">
        <v>110</v>
      </c>
      <c r="V24" s="98" t="s">
        <v>106</v>
      </c>
      <c r="W24" s="144"/>
    </row>
    <row r="25" spans="1:25" s="78" customFormat="1" ht="12" x14ac:dyDescent="0.2">
      <c r="A25" s="81" t="s">
        <v>60</v>
      </c>
      <c r="B25" s="81" t="s">
        <v>58</v>
      </c>
      <c r="C25" s="81" t="s">
        <v>57</v>
      </c>
      <c r="D25" s="81" t="s">
        <v>57</v>
      </c>
      <c r="E25" s="81" t="s">
        <v>57</v>
      </c>
      <c r="F25" s="81" t="s">
        <v>57</v>
      </c>
      <c r="G25" s="81" t="s">
        <v>57</v>
      </c>
      <c r="H25" s="81" t="s">
        <v>57</v>
      </c>
      <c r="I25" s="81" t="s">
        <v>57</v>
      </c>
      <c r="J25" s="81" t="s">
        <v>57</v>
      </c>
      <c r="K25" s="81" t="s">
        <v>64</v>
      </c>
      <c r="L25" s="81" t="s">
        <v>64</v>
      </c>
      <c r="M25" s="81" t="s">
        <v>57</v>
      </c>
      <c r="N25" s="81" t="s">
        <v>57</v>
      </c>
      <c r="O25" s="81" t="s">
        <v>57</v>
      </c>
      <c r="P25" s="81" t="s">
        <v>57</v>
      </c>
      <c r="Q25" s="81" t="s">
        <v>57</v>
      </c>
      <c r="R25" s="81" t="s">
        <v>57</v>
      </c>
      <c r="S25" s="81" t="s">
        <v>57</v>
      </c>
      <c r="T25" s="81" t="s">
        <v>57</v>
      </c>
      <c r="U25" s="81" t="s">
        <v>64</v>
      </c>
      <c r="V25" s="81" t="s">
        <v>64</v>
      </c>
      <c r="W25" s="81" t="s">
        <v>64</v>
      </c>
    </row>
    <row r="26" spans="1:25" x14ac:dyDescent="0.25">
      <c r="A26" s="72">
        <v>19</v>
      </c>
      <c r="B26" s="16">
        <v>13.0804349126815</v>
      </c>
      <c r="C26" s="17">
        <v>29.931972491183487</v>
      </c>
      <c r="D26" s="17">
        <v>82.006077075621263</v>
      </c>
      <c r="E26" s="17">
        <v>22.481165782495371</v>
      </c>
      <c r="F26" s="17">
        <v>2.1070437097109256</v>
      </c>
      <c r="G26" s="17">
        <v>0</v>
      </c>
      <c r="H26" s="17">
        <v>0</v>
      </c>
      <c r="I26" s="17">
        <v>0</v>
      </c>
      <c r="J26" s="17">
        <v>0</v>
      </c>
      <c r="K26" s="76">
        <v>1893.9573855774556</v>
      </c>
      <c r="L26" s="76">
        <v>1300.0706071543502</v>
      </c>
      <c r="M26" s="17">
        <v>10.422325370103657</v>
      </c>
      <c r="N26" s="17">
        <v>23.840315566798647</v>
      </c>
      <c r="O26" s="17">
        <v>6.2731292436558199</v>
      </c>
      <c r="P26" s="17">
        <v>0.64701275890732568</v>
      </c>
      <c r="Q26" s="17">
        <v>0</v>
      </c>
      <c r="R26" s="17">
        <v>0</v>
      </c>
      <c r="S26" s="17">
        <v>0</v>
      </c>
      <c r="T26" s="17">
        <v>0</v>
      </c>
      <c r="U26" s="76">
        <v>503.60380009338223</v>
      </c>
      <c r="V26" s="76">
        <v>345.68913912126982</v>
      </c>
      <c r="W26" s="76">
        <v>1300.0706071543502</v>
      </c>
    </row>
    <row r="27" spans="1:25" x14ac:dyDescent="0.25">
      <c r="A27" s="97">
        <v>25</v>
      </c>
      <c r="B27" s="86">
        <v>17.075217473983699</v>
      </c>
      <c r="C27" s="87">
        <v>8.9068572564720832</v>
      </c>
      <c r="D27" s="87">
        <v>73.908178518661074</v>
      </c>
      <c r="E27" s="87">
        <v>52.587681576984394</v>
      </c>
      <c r="F27" s="87">
        <v>70.814836844628857</v>
      </c>
      <c r="G27" s="87">
        <v>5.0989889851296546</v>
      </c>
      <c r="H27" s="87">
        <v>0</v>
      </c>
      <c r="I27" s="87">
        <v>0</v>
      </c>
      <c r="J27" s="87">
        <v>0</v>
      </c>
      <c r="K27" s="89">
        <v>5513.6549847012648</v>
      </c>
      <c r="L27" s="89">
        <v>3360.7429226175486</v>
      </c>
      <c r="M27" s="87">
        <v>5.0837314858962461</v>
      </c>
      <c r="N27" s="87">
        <v>19.077188507995817</v>
      </c>
      <c r="O27" s="87">
        <v>6.0413517515442967</v>
      </c>
      <c r="P27" s="87">
        <v>7.868734355226163</v>
      </c>
      <c r="Q27" s="87">
        <v>0.49139577585806088</v>
      </c>
      <c r="R27" s="87">
        <v>0</v>
      </c>
      <c r="S27" s="87">
        <v>0</v>
      </c>
      <c r="T27" s="87">
        <v>0</v>
      </c>
      <c r="U27" s="89">
        <v>708.69417160941487</v>
      </c>
      <c r="V27" s="89">
        <v>431.97097535940441</v>
      </c>
      <c r="W27" s="89">
        <v>3706.4320617388184</v>
      </c>
    </row>
    <row r="28" spans="1:25" x14ac:dyDescent="0.25">
      <c r="A28" s="72">
        <v>31</v>
      </c>
      <c r="B28" s="16">
        <v>20.9218907985687</v>
      </c>
      <c r="C28" s="17">
        <v>1.8413043038799277</v>
      </c>
      <c r="D28" s="17">
        <v>32.688201135990575</v>
      </c>
      <c r="E28" s="17">
        <v>46.289807647472863</v>
      </c>
      <c r="F28" s="17">
        <v>126.09133372326274</v>
      </c>
      <c r="G28" s="17">
        <v>94.407295269401814</v>
      </c>
      <c r="H28" s="17">
        <v>0</v>
      </c>
      <c r="I28" s="17">
        <v>0</v>
      </c>
      <c r="J28" s="17">
        <v>0</v>
      </c>
      <c r="K28" s="76">
        <v>11721.33286185223</v>
      </c>
      <c r="L28" s="76">
        <v>6344.1241696786456</v>
      </c>
      <c r="M28" s="17">
        <v>1.3852037031102877</v>
      </c>
      <c r="N28" s="17">
        <v>15.151349673510992</v>
      </c>
      <c r="O28" s="17">
        <v>12.880441076535247</v>
      </c>
      <c r="P28" s="17">
        <v>15.909392924649334</v>
      </c>
      <c r="Q28" s="17">
        <v>10.234015164594974</v>
      </c>
      <c r="R28" s="17">
        <v>0</v>
      </c>
      <c r="S28" s="17">
        <v>0</v>
      </c>
      <c r="T28" s="17">
        <v>0</v>
      </c>
      <c r="U28" s="76">
        <v>1561.2700938123394</v>
      </c>
      <c r="V28" s="76">
        <v>845.03114571444007</v>
      </c>
      <c r="W28" s="76">
        <v>7121.7842841593201</v>
      </c>
    </row>
    <row r="29" spans="1:25" x14ac:dyDescent="0.25">
      <c r="A29" s="97">
        <v>37</v>
      </c>
      <c r="B29" s="86">
        <v>24.535271406173699</v>
      </c>
      <c r="C29" s="87">
        <v>0.1264835040876969</v>
      </c>
      <c r="D29" s="87">
        <v>10.048400356476241</v>
      </c>
      <c r="E29" s="87">
        <v>19.687235899780134</v>
      </c>
      <c r="F29" s="87">
        <v>103.95417979371022</v>
      </c>
      <c r="G29" s="87">
        <v>199.02173363354163</v>
      </c>
      <c r="H29" s="87">
        <v>46.081846000454682</v>
      </c>
      <c r="I29" s="87">
        <v>0</v>
      </c>
      <c r="J29" s="87">
        <v>0</v>
      </c>
      <c r="K29" s="89">
        <v>18348.990967370675</v>
      </c>
      <c r="L29" s="89">
        <v>8818.7256449112465</v>
      </c>
      <c r="M29" s="87">
        <v>0.10222305612118701</v>
      </c>
      <c r="N29" s="87">
        <v>6.5234566456500165</v>
      </c>
      <c r="O29" s="87">
        <v>9.245557451983375</v>
      </c>
      <c r="P29" s="87">
        <v>26.51174940612599</v>
      </c>
      <c r="Q29" s="87">
        <v>21.990187192320906</v>
      </c>
      <c r="R29" s="87">
        <v>6.064525738933753</v>
      </c>
      <c r="S29" s="87">
        <v>0</v>
      </c>
      <c r="T29" s="87">
        <v>0</v>
      </c>
      <c r="U29" s="89">
        <v>2689.413676399025</v>
      </c>
      <c r="V29" s="89">
        <v>1292.561612788983</v>
      </c>
      <c r="W29" s="89">
        <v>10441.416905106362</v>
      </c>
    </row>
    <row r="30" spans="1:25" x14ac:dyDescent="0.25">
      <c r="A30" s="72">
        <v>43</v>
      </c>
      <c r="B30" s="16">
        <v>27.900045450210499</v>
      </c>
      <c r="C30" s="17">
        <v>0</v>
      </c>
      <c r="D30" s="17">
        <v>1.829142209267006</v>
      </c>
      <c r="E30" s="17">
        <v>5.4911358277542064</v>
      </c>
      <c r="F30" s="17">
        <v>43.5814943521912</v>
      </c>
      <c r="G30" s="17">
        <v>214.98980046687313</v>
      </c>
      <c r="H30" s="17">
        <v>173.37512206366893</v>
      </c>
      <c r="I30" s="17">
        <v>2.2629821244041985</v>
      </c>
      <c r="J30" s="17">
        <v>0</v>
      </c>
      <c r="K30" s="76">
        <v>24808.011685102585</v>
      </c>
      <c r="L30" s="76">
        <v>10587.284219480354</v>
      </c>
      <c r="M30" s="17">
        <v>0</v>
      </c>
      <c r="N30" s="17">
        <v>1.4968316718738437</v>
      </c>
      <c r="O30" s="17">
        <v>3.5227035148233301</v>
      </c>
      <c r="P30" s="17">
        <v>19.387165213564721</v>
      </c>
      <c r="Q30" s="17">
        <v>36.760804013406116</v>
      </c>
      <c r="R30" s="17">
        <v>17.613962250212413</v>
      </c>
      <c r="S30" s="17">
        <v>0.37712773457353949</v>
      </c>
      <c r="T30" s="17">
        <v>0</v>
      </c>
      <c r="U30" s="76">
        <v>3653.6163717243749</v>
      </c>
      <c r="V30" s="76">
        <v>1559.2493041117571</v>
      </c>
      <c r="W30" s="76">
        <v>13502.537092464452</v>
      </c>
    </row>
    <row r="31" spans="1:25" x14ac:dyDescent="0.25">
      <c r="A31" s="97">
        <v>49</v>
      </c>
      <c r="B31" s="86">
        <v>31.0370640735626</v>
      </c>
      <c r="C31" s="87">
        <v>0</v>
      </c>
      <c r="D31" s="87">
        <v>0</v>
      </c>
      <c r="E31" s="87">
        <v>1.1533046202105242</v>
      </c>
      <c r="F31" s="87">
        <v>12.78546727418605</v>
      </c>
      <c r="G31" s="87">
        <v>134.65154702963548</v>
      </c>
      <c r="H31" s="87">
        <v>246.37981222995157</v>
      </c>
      <c r="I31" s="87">
        <v>98.035631106842885</v>
      </c>
      <c r="J31" s="87">
        <v>0</v>
      </c>
      <c r="K31" s="89">
        <v>31401.299349112538</v>
      </c>
      <c r="L31" s="89">
        <v>11899.787408074741</v>
      </c>
      <c r="M31" s="87">
        <v>0</v>
      </c>
      <c r="N31" s="87">
        <v>0</v>
      </c>
      <c r="O31" s="87">
        <v>0.85955726060108584</v>
      </c>
      <c r="P31" s="87">
        <v>8.0289984774072973</v>
      </c>
      <c r="Q31" s="87">
        <v>38.857325222261977</v>
      </c>
      <c r="R31" s="87">
        <v>21.547180694289064</v>
      </c>
      <c r="S31" s="87">
        <v>9.6083112937509032</v>
      </c>
      <c r="T31" s="87">
        <v>0</v>
      </c>
      <c r="U31" s="89">
        <v>4131.5630615436521</v>
      </c>
      <c r="V31" s="89">
        <v>1565.690691611886</v>
      </c>
      <c r="W31" s="89">
        <v>16374.289585170594</v>
      </c>
    </row>
    <row r="32" spans="1:25" x14ac:dyDescent="0.25">
      <c r="A32" s="72">
        <v>55</v>
      </c>
      <c r="B32" s="16">
        <v>33.954784557342499</v>
      </c>
      <c r="C32" s="17">
        <v>0</v>
      </c>
      <c r="D32" s="17">
        <v>0</v>
      </c>
      <c r="E32" s="17">
        <v>0</v>
      </c>
      <c r="F32" s="17">
        <v>2.1093907516656119</v>
      </c>
      <c r="G32" s="17">
        <v>46.149591019514844</v>
      </c>
      <c r="H32" s="17">
        <v>240.73816208670848</v>
      </c>
      <c r="I32" s="17">
        <v>226.84898047476736</v>
      </c>
      <c r="J32" s="17">
        <v>26.288877817126377</v>
      </c>
      <c r="K32" s="76">
        <v>38095.545527465758</v>
      </c>
      <c r="L32" s="76">
        <v>12819.312959041416</v>
      </c>
      <c r="M32" s="17">
        <v>0</v>
      </c>
      <c r="N32" s="17">
        <v>0</v>
      </c>
      <c r="O32" s="17">
        <v>0</v>
      </c>
      <c r="P32" s="17">
        <v>1.847831525109513</v>
      </c>
      <c r="Q32" s="17">
        <v>19.260415854373768</v>
      </c>
      <c r="R32" s="17">
        <v>37.021090894343459</v>
      </c>
      <c r="S32" s="17">
        <v>18.139233732948448</v>
      </c>
      <c r="T32" s="17">
        <v>2.6011944767878465</v>
      </c>
      <c r="U32" s="76">
        <v>4676.7678221924189</v>
      </c>
      <c r="V32" s="76">
        <v>1573.7522463416326</v>
      </c>
      <c r="W32" s="76">
        <v>18859.505827749155</v>
      </c>
    </row>
    <row r="33" spans="1:25" x14ac:dyDescent="0.25">
      <c r="A33" s="97">
        <v>61</v>
      </c>
      <c r="B33" s="86">
        <v>36.672018920898402</v>
      </c>
      <c r="C33" s="87">
        <v>0</v>
      </c>
      <c r="D33" s="87">
        <v>0</v>
      </c>
      <c r="E33" s="87">
        <v>0</v>
      </c>
      <c r="F33" s="87">
        <v>0</v>
      </c>
      <c r="G33" s="87">
        <v>8.3396385220830958</v>
      </c>
      <c r="H33" s="87">
        <v>141.02574338985215</v>
      </c>
      <c r="I33" s="87">
        <v>291.20729946595372</v>
      </c>
      <c r="J33" s="87">
        <v>147.71837588692088</v>
      </c>
      <c r="K33" s="89">
        <v>44759.398779747622</v>
      </c>
      <c r="L33" s="89">
        <v>13374.383338663556</v>
      </c>
      <c r="M33" s="87">
        <v>0</v>
      </c>
      <c r="N33" s="87">
        <v>0</v>
      </c>
      <c r="O33" s="87">
        <v>0</v>
      </c>
      <c r="P33" s="87">
        <v>0</v>
      </c>
      <c r="Q33" s="87">
        <v>5.8794844549337588</v>
      </c>
      <c r="R33" s="87">
        <v>41.239968377233545</v>
      </c>
      <c r="S33" s="87">
        <v>19.168370996624894</v>
      </c>
      <c r="T33" s="87">
        <v>10.711266496825891</v>
      </c>
      <c r="U33" s="89">
        <v>4925.5827375111212</v>
      </c>
      <c r="V33" s="89">
        <v>1471.7943827159918</v>
      </c>
      <c r="W33" s="89">
        <v>20988.328453712929</v>
      </c>
    </row>
    <row r="34" spans="1:25" x14ac:dyDescent="0.25">
      <c r="A34" s="72">
        <v>67</v>
      </c>
      <c r="B34" s="16">
        <v>39.227337989807097</v>
      </c>
      <c r="C34" s="17">
        <v>0</v>
      </c>
      <c r="D34" s="17">
        <v>0</v>
      </c>
      <c r="E34" s="17">
        <v>0</v>
      </c>
      <c r="F34" s="17">
        <v>0</v>
      </c>
      <c r="G34" s="17">
        <v>0.54206917944993938</v>
      </c>
      <c r="H34" s="17">
        <v>42.338339001333253</v>
      </c>
      <c r="I34" s="17">
        <v>260.23219899114019</v>
      </c>
      <c r="J34" s="17">
        <v>330.32077853354775</v>
      </c>
      <c r="K34" s="76">
        <v>51020.379181017088</v>
      </c>
      <c r="L34" s="76">
        <v>13537.303755355428</v>
      </c>
      <c r="M34" s="17">
        <v>0</v>
      </c>
      <c r="N34" s="17">
        <v>0</v>
      </c>
      <c r="O34" s="17">
        <v>0</v>
      </c>
      <c r="P34" s="17">
        <v>0</v>
      </c>
      <c r="Q34" s="17">
        <v>0.54206917944993938</v>
      </c>
      <c r="R34" s="17">
        <v>19.488906376526771</v>
      </c>
      <c r="S34" s="17">
        <v>36.428072095477404</v>
      </c>
      <c r="T34" s="17">
        <v>20.225375663805433</v>
      </c>
      <c r="U34" s="76">
        <v>5312.5143292438233</v>
      </c>
      <c r="V34" s="76">
        <v>1409.576356233938</v>
      </c>
      <c r="W34" s="76">
        <v>22623.043253120792</v>
      </c>
    </row>
    <row r="35" spans="1:25" x14ac:dyDescent="0.25">
      <c r="A35" s="97">
        <v>73</v>
      </c>
      <c r="B35" s="86">
        <v>41.618616699218698</v>
      </c>
      <c r="C35" s="87">
        <v>0</v>
      </c>
      <c r="D35" s="87">
        <v>0</v>
      </c>
      <c r="E35" s="87">
        <v>0</v>
      </c>
      <c r="F35" s="87">
        <v>0</v>
      </c>
      <c r="G35" s="87">
        <v>0</v>
      </c>
      <c r="H35" s="87">
        <v>5.9779483218799783</v>
      </c>
      <c r="I35" s="87">
        <v>138.75741617753107</v>
      </c>
      <c r="J35" s="87">
        <v>531.60358354192067</v>
      </c>
      <c r="K35" s="89">
        <v>56398.071131862642</v>
      </c>
      <c r="L35" s="89">
        <v>13287.758070209511</v>
      </c>
      <c r="M35" s="87">
        <v>0</v>
      </c>
      <c r="N35" s="87">
        <v>0</v>
      </c>
      <c r="O35" s="87">
        <v>0</v>
      </c>
      <c r="P35" s="87">
        <v>0</v>
      </c>
      <c r="Q35" s="87">
        <v>0</v>
      </c>
      <c r="R35" s="87">
        <v>4.1745884452734456</v>
      </c>
      <c r="S35" s="87">
        <v>39.020246267977278</v>
      </c>
      <c r="T35" s="87">
        <v>32.234352416607472</v>
      </c>
      <c r="U35" s="89">
        <v>5480.0548577618983</v>
      </c>
      <c r="V35" s="89">
        <v>1291.1371204728571</v>
      </c>
      <c r="W35" s="89">
        <v>23783.073924208817</v>
      </c>
    </row>
    <row r="36" spans="1:25" x14ac:dyDescent="0.25">
      <c r="A36" s="72">
        <v>79</v>
      </c>
      <c r="B36" s="16">
        <v>43.872512954711901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0.24003559385964804</v>
      </c>
      <c r="I36" s="17">
        <v>35.758572474367284</v>
      </c>
      <c r="J36" s="17">
        <v>681.85133802957182</v>
      </c>
      <c r="K36" s="76">
        <v>60897.078996742152</v>
      </c>
      <c r="L36" s="76">
        <v>12740.394985548453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0.24003559385964804</v>
      </c>
      <c r="S36" s="17">
        <v>17.743956645019882</v>
      </c>
      <c r="T36" s="17">
        <v>56.490471787998914</v>
      </c>
      <c r="U36" s="76">
        <v>5634.490664352893</v>
      </c>
      <c r="V36" s="76">
        <v>1178.8026254934418</v>
      </c>
      <c r="W36" s="76">
        <v>24526.847960020612</v>
      </c>
    </row>
    <row r="37" spans="1:25" x14ac:dyDescent="0.25">
      <c r="A37" s="97">
        <v>85</v>
      </c>
      <c r="B37" s="91">
        <v>46.002179840087798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</v>
      </c>
      <c r="I37" s="92">
        <v>3.1952211684458764</v>
      </c>
      <c r="J37" s="92">
        <v>755.39575506404617</v>
      </c>
      <c r="K37" s="94">
        <v>64643.520149180375</v>
      </c>
      <c r="L37" s="94">
        <v>12009.098253592501</v>
      </c>
      <c r="M37" s="92">
        <v>0</v>
      </c>
      <c r="N37" s="92">
        <v>0</v>
      </c>
      <c r="O37" s="92">
        <v>0</v>
      </c>
      <c r="P37" s="92">
        <v>0</v>
      </c>
      <c r="Q37" s="92">
        <v>0</v>
      </c>
      <c r="R37" s="92">
        <v>0</v>
      </c>
      <c r="S37" s="92">
        <v>3.1952211684458764</v>
      </c>
      <c r="T37" s="92">
        <v>755.39575506404617</v>
      </c>
      <c r="U37" s="94">
        <v>64643.520149180375</v>
      </c>
      <c r="V37" s="94">
        <v>12009.098253592501</v>
      </c>
      <c r="W37" s="94">
        <v>24974.353853558103</v>
      </c>
    </row>
    <row r="38" spans="1:25" s="6" customFormat="1" x14ac:dyDescent="0.25">
      <c r="A38" s="18" t="s">
        <v>13</v>
      </c>
      <c r="B38" s="19" t="s">
        <v>27</v>
      </c>
      <c r="C38" s="19" t="s">
        <v>27</v>
      </c>
      <c r="D38" s="19" t="s">
        <v>27</v>
      </c>
      <c r="E38" s="19" t="s">
        <v>27</v>
      </c>
      <c r="F38" s="19" t="s">
        <v>27</v>
      </c>
      <c r="G38" s="19" t="s">
        <v>27</v>
      </c>
      <c r="H38" s="19" t="s">
        <v>27</v>
      </c>
      <c r="I38" s="19" t="s">
        <v>27</v>
      </c>
      <c r="J38" s="19" t="s">
        <v>27</v>
      </c>
      <c r="K38" s="19" t="s">
        <v>27</v>
      </c>
      <c r="L38" s="19" t="s">
        <v>27</v>
      </c>
      <c r="M38" s="18">
        <v>16.993483615231376</v>
      </c>
      <c r="N38" s="18">
        <v>66.089142065829321</v>
      </c>
      <c r="O38" s="18">
        <v>38.822740299143149</v>
      </c>
      <c r="P38" s="18">
        <v>80.20088466099034</v>
      </c>
      <c r="Q38" s="18">
        <v>134.01569685719952</v>
      </c>
      <c r="R38" s="18">
        <v>147.39025837067214</v>
      </c>
      <c r="S38" s="18">
        <v>143.68053993481823</v>
      </c>
      <c r="T38" s="18">
        <v>877.6584159060717</v>
      </c>
      <c r="U38" s="19" t="s">
        <v>27</v>
      </c>
      <c r="V38" s="77">
        <v>24974.353853558103</v>
      </c>
      <c r="W38" s="20" t="s">
        <v>27</v>
      </c>
    </row>
    <row r="39" spans="1:25" x14ac:dyDescent="0.25">
      <c r="A39"/>
      <c r="V39" s="2"/>
    </row>
    <row r="40" spans="1:25" x14ac:dyDescent="0.25">
      <c r="H40" s="8"/>
      <c r="I40" s="8"/>
      <c r="J40" s="8"/>
      <c r="W40" s="8" t="s">
        <v>75</v>
      </c>
    </row>
    <row r="41" spans="1:25" x14ac:dyDescent="0.25">
      <c r="V41" s="2"/>
      <c r="W41" s="8" t="s">
        <v>76</v>
      </c>
      <c r="X41" s="2"/>
      <c r="Y41" s="2"/>
    </row>
    <row r="42" spans="1: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V42" s="2"/>
      <c r="W42" s="8"/>
      <c r="X42" s="2"/>
      <c r="Y42" s="8"/>
    </row>
    <row r="43" spans="1:25" x14ac:dyDescent="0.25">
      <c r="V43" s="2"/>
      <c r="W43" s="2"/>
      <c r="X43" s="2"/>
      <c r="Y43" s="2"/>
    </row>
    <row r="44" spans="1:25" x14ac:dyDescent="0.25"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V45" s="2"/>
      <c r="W45" s="2"/>
      <c r="X45" s="2"/>
      <c r="Y45" s="2"/>
    </row>
    <row r="46" spans="1:25" x14ac:dyDescent="0.25">
      <c r="V46" s="2"/>
      <c r="W46" s="2"/>
      <c r="X46" s="2"/>
      <c r="Y46" s="2"/>
    </row>
  </sheetData>
  <mergeCells count="17">
    <mergeCell ref="D1:T1"/>
    <mergeCell ref="K6:N6"/>
    <mergeCell ref="W23:W24"/>
    <mergeCell ref="V6:V7"/>
    <mergeCell ref="W6:W7"/>
    <mergeCell ref="U6:U7"/>
    <mergeCell ref="K23:L23"/>
    <mergeCell ref="M23:T23"/>
    <mergeCell ref="O6:T6"/>
    <mergeCell ref="U23:V23"/>
    <mergeCell ref="A23:A24"/>
    <mergeCell ref="A6:A7"/>
    <mergeCell ref="B6:B7"/>
    <mergeCell ref="C6:F6"/>
    <mergeCell ref="G6:J6"/>
    <mergeCell ref="B23:B24"/>
    <mergeCell ref="C23:J23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A46"/>
  <sheetViews>
    <sheetView workbookViewId="0">
      <selection activeCell="W23" sqref="W23:W24"/>
    </sheetView>
  </sheetViews>
  <sheetFormatPr defaultColWidth="11.42578125" defaultRowHeight="15" x14ac:dyDescent="0.25"/>
  <cols>
    <col min="1" max="21" width="6.7109375" style="2" customWidth="1"/>
    <col min="22" max="23" width="6.7109375" customWidth="1"/>
  </cols>
  <sheetData>
    <row r="1" spans="1:27" ht="30.75" customHeight="1" x14ac:dyDescent="0.4">
      <c r="D1" s="135" t="s">
        <v>69</v>
      </c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</row>
    <row r="2" spans="1:27" x14ac:dyDescent="0.25">
      <c r="A2" s="5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U2" s="8"/>
      <c r="V2" s="8"/>
      <c r="W2" s="8"/>
    </row>
    <row r="3" spans="1:27" x14ac:dyDescent="0.25">
      <c r="A3" s="5" t="s">
        <v>78</v>
      </c>
      <c r="B3" s="5"/>
      <c r="C3" s="5"/>
      <c r="D3" s="7"/>
      <c r="E3" s="7" t="s">
        <v>79</v>
      </c>
      <c r="F3" s="7"/>
      <c r="G3" s="7"/>
      <c r="H3" s="7"/>
      <c r="I3" s="7"/>
      <c r="J3" s="7"/>
      <c r="K3" s="7" t="s">
        <v>83</v>
      </c>
      <c r="L3" s="7"/>
      <c r="M3" s="7"/>
      <c r="N3" s="7"/>
      <c r="R3" s="7" t="s">
        <v>82</v>
      </c>
      <c r="V3" s="2"/>
      <c r="W3" s="2"/>
    </row>
    <row r="4" spans="1:27" x14ac:dyDescent="0.25">
      <c r="A4" s="7"/>
      <c r="B4" s="7"/>
      <c r="C4" s="7"/>
      <c r="D4" s="7"/>
      <c r="E4" s="7" t="s">
        <v>34</v>
      </c>
      <c r="F4" s="7"/>
      <c r="G4" s="7"/>
      <c r="H4" s="7"/>
      <c r="I4" s="7"/>
      <c r="J4" s="7"/>
      <c r="K4" s="7" t="s">
        <v>80</v>
      </c>
      <c r="L4" s="7"/>
      <c r="M4" s="7"/>
      <c r="N4" s="7"/>
      <c r="O4" s="1"/>
      <c r="P4" s="1"/>
      <c r="Q4" s="1"/>
      <c r="R4" s="7" t="s">
        <v>81</v>
      </c>
      <c r="S4" s="1"/>
      <c r="T4" s="1"/>
      <c r="U4" s="1"/>
      <c r="V4" s="1"/>
      <c r="W4" s="7"/>
    </row>
    <row r="5" spans="1:27" x14ac:dyDescent="0.25">
      <c r="A5" s="5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7" x14ac:dyDescent="0.25">
      <c r="A6" s="151" t="s">
        <v>1</v>
      </c>
      <c r="B6" s="151" t="s">
        <v>2</v>
      </c>
      <c r="C6" s="153" t="s">
        <v>104</v>
      </c>
      <c r="D6" s="154"/>
      <c r="E6" s="154"/>
      <c r="F6" s="154"/>
      <c r="G6" s="154" t="s">
        <v>102</v>
      </c>
      <c r="H6" s="154"/>
      <c r="I6" s="154"/>
      <c r="J6" s="154"/>
      <c r="K6" s="154" t="s">
        <v>103</v>
      </c>
      <c r="L6" s="154"/>
      <c r="M6" s="154"/>
      <c r="N6" s="154"/>
      <c r="O6" s="148" t="s">
        <v>3</v>
      </c>
      <c r="P6" s="149"/>
      <c r="Q6" s="149"/>
      <c r="R6" s="149"/>
      <c r="S6" s="149"/>
      <c r="T6" s="150"/>
      <c r="U6" s="141" t="s">
        <v>14</v>
      </c>
      <c r="V6" s="143" t="s">
        <v>63</v>
      </c>
      <c r="W6" s="141" t="s">
        <v>29</v>
      </c>
    </row>
    <row r="7" spans="1:27" x14ac:dyDescent="0.25">
      <c r="A7" s="152"/>
      <c r="B7" s="152"/>
      <c r="C7" s="74" t="s">
        <v>4</v>
      </c>
      <c r="D7" s="74" t="s">
        <v>5</v>
      </c>
      <c r="E7" s="74" t="s">
        <v>6</v>
      </c>
      <c r="F7" s="74" t="s">
        <v>7</v>
      </c>
      <c r="G7" s="74" t="s">
        <v>4</v>
      </c>
      <c r="H7" s="74" t="s">
        <v>5</v>
      </c>
      <c r="I7" s="74" t="s">
        <v>6</v>
      </c>
      <c r="J7" s="74" t="s">
        <v>7</v>
      </c>
      <c r="K7" s="74" t="s">
        <v>4</v>
      </c>
      <c r="L7" s="74" t="s">
        <v>5</v>
      </c>
      <c r="M7" s="74" t="s">
        <v>6</v>
      </c>
      <c r="N7" s="74" t="s">
        <v>7</v>
      </c>
      <c r="O7" s="73" t="s">
        <v>16</v>
      </c>
      <c r="P7" s="74" t="s">
        <v>8</v>
      </c>
      <c r="Q7" s="74" t="s">
        <v>9</v>
      </c>
      <c r="R7" s="74" t="s">
        <v>10</v>
      </c>
      <c r="S7" s="74" t="s">
        <v>11</v>
      </c>
      <c r="T7" s="74" t="s">
        <v>12</v>
      </c>
      <c r="U7" s="142"/>
      <c r="V7" s="144"/>
      <c r="W7" s="145"/>
    </row>
    <row r="8" spans="1:27" s="78" customFormat="1" ht="12" customHeight="1" x14ac:dyDescent="0.2">
      <c r="A8" s="81" t="s">
        <v>60</v>
      </c>
      <c r="B8" s="81" t="s">
        <v>58</v>
      </c>
      <c r="C8" s="81" t="s">
        <v>59</v>
      </c>
      <c r="D8" s="81" t="s">
        <v>54</v>
      </c>
      <c r="E8" s="81" t="s">
        <v>53</v>
      </c>
      <c r="F8" s="81" t="s">
        <v>57</v>
      </c>
      <c r="G8" s="81" t="s">
        <v>59</v>
      </c>
      <c r="H8" s="81" t="s">
        <v>54</v>
      </c>
      <c r="I8" s="81" t="s">
        <v>53</v>
      </c>
      <c r="J8" s="81" t="s">
        <v>57</v>
      </c>
      <c r="K8" s="81" t="s">
        <v>59</v>
      </c>
      <c r="L8" s="81" t="s">
        <v>54</v>
      </c>
      <c r="M8" s="81" t="s">
        <v>53</v>
      </c>
      <c r="N8" s="81" t="s">
        <v>57</v>
      </c>
      <c r="O8" s="81" t="s">
        <v>55</v>
      </c>
      <c r="P8" s="81" t="s">
        <v>52</v>
      </c>
      <c r="Q8" s="81" t="s">
        <v>52</v>
      </c>
      <c r="R8" s="81" t="s">
        <v>56</v>
      </c>
      <c r="S8" s="81" t="s">
        <v>56</v>
      </c>
      <c r="T8" s="81" t="s">
        <v>57</v>
      </c>
      <c r="U8" s="79"/>
      <c r="V8" s="80" t="s">
        <v>62</v>
      </c>
      <c r="W8" s="81" t="s">
        <v>58</v>
      </c>
    </row>
    <row r="9" spans="1:27" x14ac:dyDescent="0.25">
      <c r="A9" s="14">
        <v>23</v>
      </c>
      <c r="B9" s="11">
        <v>13.482302970886201</v>
      </c>
      <c r="C9" s="10">
        <v>1612.8150000000001</v>
      </c>
      <c r="D9" s="10">
        <v>45.696587317262754</v>
      </c>
      <c r="E9" s="11">
        <v>26.800458569295259</v>
      </c>
      <c r="F9" s="10">
        <v>150.02779369703023</v>
      </c>
      <c r="G9" s="10">
        <v>526.5150000000001</v>
      </c>
      <c r="H9" s="10">
        <v>44.187088439383629</v>
      </c>
      <c r="I9" s="11">
        <v>8.1807224154117755</v>
      </c>
      <c r="J9" s="10">
        <v>45.23319295710013</v>
      </c>
      <c r="K9" s="10">
        <v>1086.3</v>
      </c>
      <c r="L9" s="10">
        <v>46.410559445979146</v>
      </c>
      <c r="M9" s="11">
        <v>18.619736153883483</v>
      </c>
      <c r="N9" s="10">
        <v>104.7946007399301</v>
      </c>
      <c r="O9" s="11">
        <v>1.9383768769646892</v>
      </c>
      <c r="P9" s="12">
        <v>1.7409700894417195</v>
      </c>
      <c r="Q9" s="12">
        <v>1.1652373290997939</v>
      </c>
      <c r="R9" s="11">
        <v>16.884271638242851</v>
      </c>
      <c r="S9" s="11">
        <v>6.5229475520447924</v>
      </c>
      <c r="T9" s="75">
        <v>150.02779369703023</v>
      </c>
      <c r="U9" s="10">
        <v>91.263506564942944</v>
      </c>
      <c r="V9" s="11">
        <v>32.645715720649925</v>
      </c>
      <c r="W9" s="16">
        <v>3.2603167439549101</v>
      </c>
      <c r="Y9" s="9"/>
      <c r="Z9" s="9"/>
      <c r="AA9" s="9"/>
    </row>
    <row r="10" spans="1:27" x14ac:dyDescent="0.25">
      <c r="A10" s="85">
        <v>29</v>
      </c>
      <c r="B10" s="86">
        <v>16.906644861221299</v>
      </c>
      <c r="C10" s="87">
        <v>1084.23</v>
      </c>
      <c r="D10" s="87">
        <v>58.040820707767281</v>
      </c>
      <c r="E10" s="86">
        <v>29.0655566905338</v>
      </c>
      <c r="F10" s="87">
        <v>206.10023056938721</v>
      </c>
      <c r="G10" s="87">
        <v>273.87</v>
      </c>
      <c r="H10" s="87">
        <v>49.492052367896349</v>
      </c>
      <c r="I10" s="86">
        <v>5.3383313305275308</v>
      </c>
      <c r="J10" s="87">
        <v>35.684612401535986</v>
      </c>
      <c r="K10" s="87">
        <v>810.36</v>
      </c>
      <c r="L10" s="87">
        <v>60.658185057222958</v>
      </c>
      <c r="M10" s="86">
        <v>23.727225360006269</v>
      </c>
      <c r="N10" s="87">
        <v>170.41561816785122</v>
      </c>
      <c r="O10" s="86">
        <v>1.922258650541907</v>
      </c>
      <c r="P10" s="88">
        <v>1.6262724021729149</v>
      </c>
      <c r="Q10" s="88">
        <v>1.2843544519291579</v>
      </c>
      <c r="R10" s="86">
        <v>18.33372196668704</v>
      </c>
      <c r="S10" s="86">
        <v>8.666669776775425</v>
      </c>
      <c r="T10" s="89">
        <v>251.33342352648734</v>
      </c>
      <c r="U10" s="87">
        <v>87.562447248889228</v>
      </c>
      <c r="V10" s="86">
        <v>25.259400680667387</v>
      </c>
      <c r="W10" s="86">
        <v>3.7748151228175848</v>
      </c>
    </row>
    <row r="11" spans="1:27" x14ac:dyDescent="0.25">
      <c r="A11" s="15">
        <v>35</v>
      </c>
      <c r="B11" s="16">
        <v>20.218878978729201</v>
      </c>
      <c r="C11" s="17">
        <v>807.39</v>
      </c>
      <c r="D11" s="17">
        <v>72.191736960474401</v>
      </c>
      <c r="E11" s="16">
        <v>33.484859773043759</v>
      </c>
      <c r="F11" s="17">
        <v>280.41794996797347</v>
      </c>
      <c r="G11" s="17">
        <v>189.89999999999998</v>
      </c>
      <c r="H11" s="17">
        <v>60.488452931509748</v>
      </c>
      <c r="I11" s="16">
        <v>5.52917142314163</v>
      </c>
      <c r="J11" s="17">
        <v>44.367760262155429</v>
      </c>
      <c r="K11" s="17">
        <v>617.49</v>
      </c>
      <c r="L11" s="17">
        <v>75.426692272771334</v>
      </c>
      <c r="M11" s="16">
        <v>27.955688349902129</v>
      </c>
      <c r="N11" s="17">
        <v>236.05018970581804</v>
      </c>
      <c r="O11" s="16">
        <v>1.9274020012568347</v>
      </c>
      <c r="P11" s="13">
        <v>1.5138576258032252</v>
      </c>
      <c r="Q11" s="13">
        <v>1.3429689576852306</v>
      </c>
      <c r="R11" s="16">
        <v>19.131742007399541</v>
      </c>
      <c r="S11" s="16">
        <v>10.323878723617417</v>
      </c>
      <c r="T11" s="76">
        <v>361.33575532660961</v>
      </c>
      <c r="U11" s="17">
        <v>84.21353203940906</v>
      </c>
      <c r="V11" s="16">
        <v>23.520231858209783</v>
      </c>
      <c r="W11" s="16">
        <v>4.324338873503069</v>
      </c>
    </row>
    <row r="12" spans="1:27" x14ac:dyDescent="0.25">
      <c r="A12" s="85">
        <v>41</v>
      </c>
      <c r="B12" s="86">
        <v>23.356367383956901</v>
      </c>
      <c r="C12" s="87">
        <v>615.05999999999995</v>
      </c>
      <c r="D12" s="87">
        <v>86.991104280312342</v>
      </c>
      <c r="E12" s="86">
        <v>37.038834104721481</v>
      </c>
      <c r="F12" s="87">
        <v>350.8406417502153</v>
      </c>
      <c r="G12" s="87">
        <v>145.34999999999997</v>
      </c>
      <c r="H12" s="87">
        <v>74.400204727845065</v>
      </c>
      <c r="I12" s="86">
        <v>6.4025567012717985</v>
      </c>
      <c r="J12" s="87">
        <v>59.227071085464274</v>
      </c>
      <c r="K12" s="87">
        <v>469.71</v>
      </c>
      <c r="L12" s="87">
        <v>90.533232150933102</v>
      </c>
      <c r="M12" s="86">
        <v>30.636277403449682</v>
      </c>
      <c r="N12" s="87">
        <v>291.61357066475102</v>
      </c>
      <c r="O12" s="86">
        <v>1.9687182540552304</v>
      </c>
      <c r="P12" s="88">
        <v>1.394338628056109</v>
      </c>
      <c r="Q12" s="88">
        <v>1.3679770554585955</v>
      </c>
      <c r="R12" s="86">
        <v>19.230878924212202</v>
      </c>
      <c r="S12" s="86">
        <v>11.612834326122119</v>
      </c>
      <c r="T12" s="89">
        <v>476.12620737100684</v>
      </c>
      <c r="U12" s="87">
        <v>81.048903750231332</v>
      </c>
      <c r="V12" s="86">
        <v>23.631840796019898</v>
      </c>
      <c r="W12" s="86">
        <v>4.9581513650541602</v>
      </c>
    </row>
    <row r="13" spans="1:27" x14ac:dyDescent="0.25">
      <c r="A13" s="15">
        <v>47</v>
      </c>
      <c r="B13" s="16">
        <v>26.295427522659299</v>
      </c>
      <c r="C13" s="17">
        <v>467.90999999999997</v>
      </c>
      <c r="D13" s="17">
        <v>102.34554167526449</v>
      </c>
      <c r="E13" s="16">
        <v>39.002309171786337</v>
      </c>
      <c r="F13" s="17">
        <v>406.99884421002423</v>
      </c>
      <c r="G13" s="17">
        <v>105.02999999999997</v>
      </c>
      <c r="H13" s="17">
        <v>89.146921910557239</v>
      </c>
      <c r="I13" s="16">
        <v>6.6422651206876182</v>
      </c>
      <c r="J13" s="17">
        <v>68.278332437761492</v>
      </c>
      <c r="K13" s="17">
        <v>362.88</v>
      </c>
      <c r="L13" s="17">
        <v>105.85904400691082</v>
      </c>
      <c r="M13" s="16">
        <v>32.360044051098718</v>
      </c>
      <c r="N13" s="17">
        <v>338.72051177226274</v>
      </c>
      <c r="O13" s="16">
        <v>2.0209560791266461</v>
      </c>
      <c r="P13" s="13">
        <v>1.283074031499466</v>
      </c>
      <c r="Q13" s="13">
        <v>1.3713423625987038</v>
      </c>
      <c r="R13" s="16">
        <v>18.985381075243794</v>
      </c>
      <c r="S13" s="16">
        <v>12.585350657793194</v>
      </c>
      <c r="T13" s="76">
        <v>591.51148091628011</v>
      </c>
      <c r="U13" s="17">
        <v>78.037283165712608</v>
      </c>
      <c r="V13" s="16">
        <v>22.446624350836693</v>
      </c>
      <c r="W13" s="16">
        <v>5.6409619165728655</v>
      </c>
      <c r="Y13" s="9"/>
      <c r="AA13" s="9"/>
    </row>
    <row r="14" spans="1:27" x14ac:dyDescent="0.25">
      <c r="A14" s="85">
        <v>53</v>
      </c>
      <c r="B14" s="86">
        <v>29.060241210937502</v>
      </c>
      <c r="C14" s="87">
        <v>361.62</v>
      </c>
      <c r="D14" s="87">
        <v>117.9847804816707</v>
      </c>
      <c r="E14" s="86">
        <v>40.058488240095514</v>
      </c>
      <c r="F14" s="87">
        <v>452.6327982237255</v>
      </c>
      <c r="G14" s="87">
        <v>71.19</v>
      </c>
      <c r="H14" s="87">
        <v>104.01116986884145</v>
      </c>
      <c r="I14" s="86">
        <v>6.1287102742165231</v>
      </c>
      <c r="J14" s="87">
        <v>68.609373607452596</v>
      </c>
      <c r="K14" s="87">
        <v>290.43</v>
      </c>
      <c r="L14" s="87">
        <v>121.16430720030434</v>
      </c>
      <c r="M14" s="86">
        <v>33.929777965878991</v>
      </c>
      <c r="N14" s="87">
        <v>384.02342461627291</v>
      </c>
      <c r="O14" s="86">
        <v>2.0504387926678667</v>
      </c>
      <c r="P14" s="88">
        <v>1.1875375639347752</v>
      </c>
      <c r="Q14" s="88">
        <v>1.3613497213421861</v>
      </c>
      <c r="R14" s="86">
        <v>18.663184751930704</v>
      </c>
      <c r="S14" s="86">
        <v>13.309882403164959</v>
      </c>
      <c r="T14" s="89">
        <v>705.42376736774281</v>
      </c>
      <c r="U14" s="87">
        <v>75.348460622898102</v>
      </c>
      <c r="V14" s="86">
        <v>19.686411149825783</v>
      </c>
      <c r="W14" s="86">
        <v>6.3054189369323623</v>
      </c>
      <c r="Y14" s="9"/>
    </row>
    <row r="15" spans="1:27" x14ac:dyDescent="0.25">
      <c r="A15" s="15">
        <v>59</v>
      </c>
      <c r="B15" s="16">
        <v>31.6609411869049</v>
      </c>
      <c r="C15" s="17">
        <v>289.62</v>
      </c>
      <c r="D15" s="17">
        <v>133.46693995631153</v>
      </c>
      <c r="E15" s="16">
        <v>41.055003349487642</v>
      </c>
      <c r="F15" s="17">
        <v>496.00253312785713</v>
      </c>
      <c r="G15" s="17">
        <v>51.120000000000005</v>
      </c>
      <c r="H15" s="17">
        <v>118.15602429518093</v>
      </c>
      <c r="I15" s="16">
        <v>5.6792726664705029</v>
      </c>
      <c r="J15" s="17">
        <v>68.222486832800428</v>
      </c>
      <c r="K15" s="17">
        <v>238.5</v>
      </c>
      <c r="L15" s="17">
        <v>136.52539753687483</v>
      </c>
      <c r="M15" s="16">
        <v>35.375730683017139</v>
      </c>
      <c r="N15" s="17">
        <v>427.78004629505671</v>
      </c>
      <c r="O15" s="16">
        <v>2.0766007248874181</v>
      </c>
      <c r="P15" s="13">
        <v>1.1067148698607052</v>
      </c>
      <c r="Q15" s="13">
        <v>1.3436739087244833</v>
      </c>
      <c r="R15" s="16">
        <v>18.328632933925491</v>
      </c>
      <c r="S15" s="16">
        <v>13.854286031853</v>
      </c>
      <c r="T15" s="76">
        <v>817.40287587932698</v>
      </c>
      <c r="U15" s="17">
        <v>72.855147857492028</v>
      </c>
      <c r="V15" s="16">
        <v>17.650714729645742</v>
      </c>
      <c r="W15" s="16">
        <v>6.9580972192961035</v>
      </c>
      <c r="Y15" s="9"/>
    </row>
    <row r="16" spans="1:27" x14ac:dyDescent="0.25">
      <c r="A16" s="85">
        <v>65</v>
      </c>
      <c r="B16" s="86">
        <v>34.106294673919599</v>
      </c>
      <c r="C16" s="87">
        <v>237.87</v>
      </c>
      <c r="D16" s="87">
        <v>148.98500188619934</v>
      </c>
      <c r="E16" s="86">
        <v>42.01601990218137</v>
      </c>
      <c r="F16" s="87">
        <v>537.75184389860965</v>
      </c>
      <c r="G16" s="87">
        <v>36.990000000000009</v>
      </c>
      <c r="H16" s="87">
        <v>134.57938539799451</v>
      </c>
      <c r="I16" s="86">
        <v>5.3312806894816802</v>
      </c>
      <c r="J16" s="87">
        <v>68.20660219986172</v>
      </c>
      <c r="K16" s="87">
        <v>200.88</v>
      </c>
      <c r="L16" s="87">
        <v>151.48837263270789</v>
      </c>
      <c r="M16" s="86">
        <v>36.684739212699689</v>
      </c>
      <c r="N16" s="87">
        <v>469.54524169874793</v>
      </c>
      <c r="O16" s="86">
        <v>2.0781563655361737</v>
      </c>
      <c r="P16" s="88">
        <v>1.0382972540508899</v>
      </c>
      <c r="Q16" s="88">
        <v>1.3218007666755192</v>
      </c>
      <c r="R16" s="86">
        <v>17.995415872727552</v>
      </c>
      <c r="S16" s="86">
        <v>14.267302668967384</v>
      </c>
      <c r="T16" s="89">
        <v>927.37467348287998</v>
      </c>
      <c r="U16" s="87">
        <v>70.730236866786527</v>
      </c>
      <c r="V16" s="86">
        <v>15.550510783200911</v>
      </c>
      <c r="W16" s="86">
        <v>7.5816954340097711</v>
      </c>
      <c r="Y16" s="9"/>
    </row>
    <row r="17" spans="1:25" x14ac:dyDescent="0.25">
      <c r="A17" s="15">
        <v>71</v>
      </c>
      <c r="B17" s="16">
        <v>36.404045425414999</v>
      </c>
      <c r="C17" s="17">
        <v>200.61</v>
      </c>
      <c r="D17" s="17">
        <v>163.95731082592494</v>
      </c>
      <c r="E17" s="16">
        <v>42.914522737005029</v>
      </c>
      <c r="F17" s="17">
        <v>577.51773693511325</v>
      </c>
      <c r="G17" s="17">
        <v>28.620000000000005</v>
      </c>
      <c r="H17" s="17">
        <v>148.16475154621841</v>
      </c>
      <c r="I17" s="16">
        <v>4.9997646268335885</v>
      </c>
      <c r="J17" s="17">
        <v>67.242312388620064</v>
      </c>
      <c r="K17" s="17">
        <v>171.99</v>
      </c>
      <c r="L17" s="17">
        <v>166.43991240828896</v>
      </c>
      <c r="M17" s="16">
        <v>37.914758110171441</v>
      </c>
      <c r="N17" s="17">
        <v>510.27542454649318</v>
      </c>
      <c r="O17" s="16">
        <v>2.0813089138173999</v>
      </c>
      <c r="P17" s="13">
        <v>0.97998923269727933</v>
      </c>
      <c r="Q17" s="13">
        <v>1.297842723355128</v>
      </c>
      <c r="R17" s="16">
        <v>17.692783172487463</v>
      </c>
      <c r="S17" s="16">
        <v>14.582354489003453</v>
      </c>
      <c r="T17" s="76">
        <v>1035.3471687192452</v>
      </c>
      <c r="U17" s="17">
        <v>68.713495467891889</v>
      </c>
      <c r="V17" s="16">
        <v>14.26648721399731</v>
      </c>
      <c r="W17" s="16">
        <v>8.1937571103505764</v>
      </c>
      <c r="Y17" s="9"/>
    </row>
    <row r="18" spans="1:25" x14ac:dyDescent="0.25">
      <c r="A18" s="85">
        <v>77</v>
      </c>
      <c r="B18" s="86">
        <v>38.5914131965637</v>
      </c>
      <c r="C18" s="87">
        <v>171.9</v>
      </c>
      <c r="D18" s="87">
        <v>178.92776589119336</v>
      </c>
      <c r="E18" s="86">
        <v>43.794693506355117</v>
      </c>
      <c r="F18" s="87">
        <v>616.43212358141795</v>
      </c>
      <c r="G18" s="87">
        <v>22.409999999999997</v>
      </c>
      <c r="H18" s="87">
        <v>163.21084113900861</v>
      </c>
      <c r="I18" s="86">
        <v>4.7503980123530312</v>
      </c>
      <c r="J18" s="87">
        <v>66.873764480061595</v>
      </c>
      <c r="K18" s="87">
        <v>149.49</v>
      </c>
      <c r="L18" s="87">
        <v>181.16640086932699</v>
      </c>
      <c r="M18" s="86">
        <v>39.044295494002085</v>
      </c>
      <c r="N18" s="87">
        <v>549.55835910135636</v>
      </c>
      <c r="O18" s="86">
        <v>2.0824141664072471</v>
      </c>
      <c r="P18" s="88">
        <v>0.92853993469538898</v>
      </c>
      <c r="Q18" s="88">
        <v>1.2730749188882826</v>
      </c>
      <c r="R18" s="86">
        <v>17.398289137897638</v>
      </c>
      <c r="S18" s="86">
        <v>14.824725555248964</v>
      </c>
      <c r="T18" s="89">
        <v>1141.5038677541702</v>
      </c>
      <c r="U18" s="87">
        <v>66.921073448613953</v>
      </c>
      <c r="V18" s="86">
        <v>13.036649214659683</v>
      </c>
      <c r="W18" s="86">
        <v>8.78878040112183</v>
      </c>
      <c r="Y18" s="9"/>
    </row>
    <row r="19" spans="1:25" x14ac:dyDescent="0.25">
      <c r="A19" s="15">
        <v>83</v>
      </c>
      <c r="B19" s="16">
        <v>40.676787826538003</v>
      </c>
      <c r="C19" s="17">
        <v>149.49</v>
      </c>
      <c r="D19" s="17">
        <v>193.66088586777047</v>
      </c>
      <c r="E19" s="16">
        <v>44.61553510217442</v>
      </c>
      <c r="F19" s="17">
        <v>653.9480939287422</v>
      </c>
      <c r="G19" s="17">
        <v>18.090000000000003</v>
      </c>
      <c r="H19" s="17">
        <v>176.24197834943149</v>
      </c>
      <c r="I19" s="16">
        <v>4.4714401410957265</v>
      </c>
      <c r="J19" s="17">
        <v>65.652026524935309</v>
      </c>
      <c r="K19" s="17">
        <v>131.4</v>
      </c>
      <c r="L19" s="17">
        <v>195.93773574948489</v>
      </c>
      <c r="M19" s="16">
        <v>40.144094961078693</v>
      </c>
      <c r="N19" s="17">
        <v>588.29606740380689</v>
      </c>
      <c r="O19" s="16">
        <v>2.0890125731983269</v>
      </c>
      <c r="P19" s="13">
        <v>0.88338079754326415</v>
      </c>
      <c r="Q19" s="13">
        <v>1.2481687754526518</v>
      </c>
      <c r="R19" s="16">
        <v>17.129290582454871</v>
      </c>
      <c r="S19" s="16">
        <v>15.010766296163325</v>
      </c>
      <c r="T19" s="76">
        <v>1245.893602581556</v>
      </c>
      <c r="U19" s="17">
        <v>65.219646087401756</v>
      </c>
      <c r="V19" s="16">
        <v>12.101143889223362</v>
      </c>
      <c r="W19" s="16">
        <v>9.3742601468762796</v>
      </c>
      <c r="Y19" s="9"/>
    </row>
    <row r="20" spans="1:25" x14ac:dyDescent="0.25">
      <c r="A20" s="90">
        <v>89</v>
      </c>
      <c r="B20" s="91">
        <v>42.661905838012601</v>
      </c>
      <c r="C20" s="92">
        <v>131.4</v>
      </c>
      <c r="D20" s="92">
        <v>208.47181118867485</v>
      </c>
      <c r="E20" s="91">
        <v>45.444379746338278</v>
      </c>
      <c r="F20" s="92">
        <v>691.07181089853611</v>
      </c>
      <c r="G20" s="92">
        <v>131.4</v>
      </c>
      <c r="H20" s="92">
        <v>208.47181118867485</v>
      </c>
      <c r="I20" s="91">
        <v>45.444379746338278</v>
      </c>
      <c r="J20" s="92">
        <v>691.07181089853611</v>
      </c>
      <c r="K20" s="92" t="s">
        <v>27</v>
      </c>
      <c r="L20" s="92" t="s">
        <v>27</v>
      </c>
      <c r="M20" s="91" t="s">
        <v>27</v>
      </c>
      <c r="N20" s="92" t="s">
        <v>27</v>
      </c>
      <c r="O20" s="91" t="s">
        <v>27</v>
      </c>
      <c r="P20" s="93" t="s">
        <v>27</v>
      </c>
      <c r="Q20" s="93">
        <v>1.2235763275037044</v>
      </c>
      <c r="R20" s="91" t="s">
        <v>27</v>
      </c>
      <c r="S20" s="91">
        <v>15.153588158160508</v>
      </c>
      <c r="T20" s="94">
        <v>1348.6693460762851</v>
      </c>
      <c r="U20" s="92">
        <v>64.289905289660965</v>
      </c>
      <c r="V20" s="95" t="s">
        <v>27</v>
      </c>
      <c r="W20" s="96" t="s">
        <v>27</v>
      </c>
    </row>
    <row r="22" spans="1:25" x14ac:dyDescent="0.25">
      <c r="A22" s="5" t="s">
        <v>30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5" ht="15" customHeight="1" x14ac:dyDescent="0.25">
      <c r="A23" s="141" t="s">
        <v>1</v>
      </c>
      <c r="B23" s="141" t="s">
        <v>2</v>
      </c>
      <c r="C23" s="146" t="s">
        <v>31</v>
      </c>
      <c r="D23" s="155"/>
      <c r="E23" s="155"/>
      <c r="F23" s="155"/>
      <c r="G23" s="155"/>
      <c r="H23" s="155"/>
      <c r="I23" s="155"/>
      <c r="J23" s="147"/>
      <c r="K23" s="146" t="s">
        <v>109</v>
      </c>
      <c r="L23" s="147"/>
      <c r="M23" s="146" t="s">
        <v>32</v>
      </c>
      <c r="N23" s="155"/>
      <c r="O23" s="155"/>
      <c r="P23" s="155"/>
      <c r="Q23" s="155"/>
      <c r="R23" s="155"/>
      <c r="S23" s="155"/>
      <c r="T23" s="147"/>
      <c r="U23" s="146" t="s">
        <v>110</v>
      </c>
      <c r="V23" s="147"/>
      <c r="W23" s="143" t="s">
        <v>107</v>
      </c>
    </row>
    <row r="24" spans="1:25" x14ac:dyDescent="0.25">
      <c r="A24" s="145"/>
      <c r="B24" s="145"/>
      <c r="C24" s="82" t="s">
        <v>19</v>
      </c>
      <c r="D24" s="82" t="s">
        <v>20</v>
      </c>
      <c r="E24" s="82" t="s">
        <v>21</v>
      </c>
      <c r="F24" s="82" t="s">
        <v>22</v>
      </c>
      <c r="G24" s="82" t="s">
        <v>23</v>
      </c>
      <c r="H24" s="82" t="s">
        <v>24</v>
      </c>
      <c r="I24" s="82" t="s">
        <v>25</v>
      </c>
      <c r="J24" s="82" t="s">
        <v>26</v>
      </c>
      <c r="K24" s="98" t="s">
        <v>109</v>
      </c>
      <c r="L24" s="98" t="s">
        <v>106</v>
      </c>
      <c r="M24" s="82" t="s">
        <v>19</v>
      </c>
      <c r="N24" s="82" t="s">
        <v>20</v>
      </c>
      <c r="O24" s="82" t="s">
        <v>21</v>
      </c>
      <c r="P24" s="82" t="s">
        <v>22</v>
      </c>
      <c r="Q24" s="82" t="s">
        <v>23</v>
      </c>
      <c r="R24" s="82" t="s">
        <v>24</v>
      </c>
      <c r="S24" s="82" t="s">
        <v>25</v>
      </c>
      <c r="T24" s="82" t="s">
        <v>26</v>
      </c>
      <c r="U24" s="98" t="s">
        <v>110</v>
      </c>
      <c r="V24" s="98" t="s">
        <v>106</v>
      </c>
      <c r="W24" s="144"/>
    </row>
    <row r="25" spans="1:25" s="78" customFormat="1" ht="12" x14ac:dyDescent="0.2">
      <c r="A25" s="81" t="s">
        <v>60</v>
      </c>
      <c r="B25" s="81" t="s">
        <v>58</v>
      </c>
      <c r="C25" s="81" t="s">
        <v>57</v>
      </c>
      <c r="D25" s="81" t="s">
        <v>57</v>
      </c>
      <c r="E25" s="81" t="s">
        <v>57</v>
      </c>
      <c r="F25" s="81" t="s">
        <v>57</v>
      </c>
      <c r="G25" s="81" t="s">
        <v>57</v>
      </c>
      <c r="H25" s="81" t="s">
        <v>57</v>
      </c>
      <c r="I25" s="81" t="s">
        <v>57</v>
      </c>
      <c r="J25" s="81" t="s">
        <v>57</v>
      </c>
      <c r="K25" s="81" t="s">
        <v>64</v>
      </c>
      <c r="L25" s="81" t="s">
        <v>64</v>
      </c>
      <c r="M25" s="81" t="s">
        <v>57</v>
      </c>
      <c r="N25" s="81" t="s">
        <v>57</v>
      </c>
      <c r="O25" s="81" t="s">
        <v>57</v>
      </c>
      <c r="P25" s="81" t="s">
        <v>57</v>
      </c>
      <c r="Q25" s="81" t="s">
        <v>57</v>
      </c>
      <c r="R25" s="81" t="s">
        <v>57</v>
      </c>
      <c r="S25" s="81" t="s">
        <v>57</v>
      </c>
      <c r="T25" s="81" t="s">
        <v>57</v>
      </c>
      <c r="U25" s="81" t="s">
        <v>64</v>
      </c>
      <c r="V25" s="81" t="s">
        <v>64</v>
      </c>
      <c r="W25" s="81" t="s">
        <v>64</v>
      </c>
    </row>
    <row r="26" spans="1:25" x14ac:dyDescent="0.25">
      <c r="A26" s="72">
        <v>23</v>
      </c>
      <c r="B26" s="16">
        <v>13.482302970886201</v>
      </c>
      <c r="C26" s="17">
        <v>28.599269167311746</v>
      </c>
      <c r="D26" s="17">
        <v>89.02388253420348</v>
      </c>
      <c r="E26" s="17">
        <v>27.273138325678843</v>
      </c>
      <c r="F26" s="17">
        <v>4.8287656398772718</v>
      </c>
      <c r="G26" s="17">
        <v>0</v>
      </c>
      <c r="H26" s="17">
        <v>0</v>
      </c>
      <c r="I26" s="17">
        <v>0</v>
      </c>
      <c r="J26" s="17">
        <v>0</v>
      </c>
      <c r="K26" s="76">
        <v>2211.876346364897</v>
      </c>
      <c r="L26" s="76">
        <v>1402.674474262694</v>
      </c>
      <c r="M26" s="17">
        <v>10.098690843015808</v>
      </c>
      <c r="N26" s="17">
        <v>26.16391504092282</v>
      </c>
      <c r="O26" s="17">
        <v>7.3792099797997928</v>
      </c>
      <c r="P26" s="17">
        <v>1.2886390634028035</v>
      </c>
      <c r="Q26" s="17">
        <v>0</v>
      </c>
      <c r="R26" s="17">
        <v>0</v>
      </c>
      <c r="S26" s="17">
        <v>0</v>
      </c>
      <c r="T26" s="17">
        <v>0</v>
      </c>
      <c r="U26" s="76">
        <v>578.81662412925448</v>
      </c>
      <c r="V26" s="76">
        <v>367.05998745332681</v>
      </c>
      <c r="W26" s="76">
        <v>1402.674474262694</v>
      </c>
    </row>
    <row r="27" spans="1:25" x14ac:dyDescent="0.25">
      <c r="A27" s="97">
        <v>29</v>
      </c>
      <c r="B27" s="86">
        <v>16.906644861221299</v>
      </c>
      <c r="C27" s="87">
        <v>8.8414338102087076</v>
      </c>
      <c r="D27" s="87">
        <v>74.396860396563142</v>
      </c>
      <c r="E27" s="87">
        <v>51.317771182114598</v>
      </c>
      <c r="F27" s="87">
        <v>69.209276392245684</v>
      </c>
      <c r="G27" s="87">
        <v>2.1833219087107496</v>
      </c>
      <c r="H27" s="87">
        <v>0</v>
      </c>
      <c r="I27" s="87">
        <v>0</v>
      </c>
      <c r="J27" s="87">
        <v>0</v>
      </c>
      <c r="K27" s="89">
        <v>5269.7425008584032</v>
      </c>
      <c r="L27" s="89">
        <v>2967.4568556870063</v>
      </c>
      <c r="M27" s="87">
        <v>4.6778107753973082</v>
      </c>
      <c r="N27" s="87">
        <v>17.773795514601442</v>
      </c>
      <c r="O27" s="87">
        <v>5.6953697193092747</v>
      </c>
      <c r="P27" s="87">
        <v>7.1922221580420782</v>
      </c>
      <c r="Q27" s="87">
        <v>0.19384735464137054</v>
      </c>
      <c r="R27" s="87">
        <v>0</v>
      </c>
      <c r="S27" s="87">
        <v>0</v>
      </c>
      <c r="T27" s="87">
        <v>0</v>
      </c>
      <c r="U27" s="89">
        <v>643.73649900870339</v>
      </c>
      <c r="V27" s="89">
        <v>362.49594490208221</v>
      </c>
      <c r="W27" s="89">
        <v>3334.5168431403331</v>
      </c>
    </row>
    <row r="28" spans="1:25" x14ac:dyDescent="0.25">
      <c r="A28" s="72">
        <v>35</v>
      </c>
      <c r="B28" s="16">
        <v>20.218878978729201</v>
      </c>
      <c r="C28" s="17">
        <v>2.1677549398586473</v>
      </c>
      <c r="D28" s="17">
        <v>37.746833818111632</v>
      </c>
      <c r="E28" s="17">
        <v>48.344846759577003</v>
      </c>
      <c r="F28" s="17">
        <v>119.17334134949809</v>
      </c>
      <c r="G28" s="17">
        <v>72.757781982871194</v>
      </c>
      <c r="H28" s="17">
        <v>0</v>
      </c>
      <c r="I28" s="17">
        <v>0</v>
      </c>
      <c r="J28" s="17">
        <v>0</v>
      </c>
      <c r="K28" s="76">
        <v>10424.210255139646</v>
      </c>
      <c r="L28" s="76">
        <v>5212.3929750329889</v>
      </c>
      <c r="M28" s="17">
        <v>1.4689792205685606</v>
      </c>
      <c r="N28" s="17">
        <v>15.207361820486533</v>
      </c>
      <c r="O28" s="17">
        <v>9.3071432355688888</v>
      </c>
      <c r="P28" s="17">
        <v>11.820481553012884</v>
      </c>
      <c r="Q28" s="17">
        <v>6.3364033144626344</v>
      </c>
      <c r="R28" s="17">
        <v>0</v>
      </c>
      <c r="S28" s="17">
        <v>0</v>
      </c>
      <c r="T28" s="17">
        <v>0</v>
      </c>
      <c r="U28" s="76">
        <v>1143.491176423938</v>
      </c>
      <c r="V28" s="76">
        <v>571.77716384467692</v>
      </c>
      <c r="W28" s="76">
        <v>5941.9489073883979</v>
      </c>
    </row>
    <row r="29" spans="1:25" x14ac:dyDescent="0.25">
      <c r="A29" s="97">
        <v>41</v>
      </c>
      <c r="B29" s="86">
        <v>23.356367383956901</v>
      </c>
      <c r="C29" s="87">
        <v>0.3229134812052224</v>
      </c>
      <c r="D29" s="87">
        <v>12.936370594810009</v>
      </c>
      <c r="E29" s="87">
        <v>25.360955710977088</v>
      </c>
      <c r="F29" s="87">
        <v>113.57773211684436</v>
      </c>
      <c r="G29" s="87">
        <v>181.06721010196856</v>
      </c>
      <c r="H29" s="87">
        <v>17.167977737181907</v>
      </c>
      <c r="I29" s="87">
        <v>0</v>
      </c>
      <c r="J29" s="87">
        <v>0</v>
      </c>
      <c r="K29" s="89">
        <v>16079.149478146583</v>
      </c>
      <c r="L29" s="89">
        <v>7139.3065519443953</v>
      </c>
      <c r="M29" s="87">
        <v>0.26336221962997119</v>
      </c>
      <c r="N29" s="87">
        <v>7.7647368582062049</v>
      </c>
      <c r="O29" s="87">
        <v>10.106254192038598</v>
      </c>
      <c r="P29" s="87">
        <v>20.296567303835456</v>
      </c>
      <c r="Q29" s="87">
        <v>18.515605895358533</v>
      </c>
      <c r="R29" s="87">
        <v>1.8730626091694151</v>
      </c>
      <c r="S29" s="87">
        <v>0</v>
      </c>
      <c r="T29" s="87">
        <v>0</v>
      </c>
      <c r="U29" s="89">
        <v>2074.8806831910206</v>
      </c>
      <c r="V29" s="89">
        <v>921.26820987275335</v>
      </c>
      <c r="W29" s="89">
        <v>8440.6396481444808</v>
      </c>
    </row>
    <row r="30" spans="1:25" x14ac:dyDescent="0.25">
      <c r="A30" s="72">
        <v>47</v>
      </c>
      <c r="B30" s="16">
        <v>26.295427522659299</v>
      </c>
      <c r="C30" s="17">
        <v>0</v>
      </c>
      <c r="D30" s="17">
        <v>3.1376876683887476</v>
      </c>
      <c r="E30" s="17">
        <v>7.9848193925501159</v>
      </c>
      <c r="F30" s="17">
        <v>64.055728745655955</v>
      </c>
      <c r="G30" s="17">
        <v>219.37380032633186</v>
      </c>
      <c r="H30" s="17">
        <v>112.00312972773878</v>
      </c>
      <c r="I30" s="17">
        <v>0</v>
      </c>
      <c r="J30" s="17">
        <v>0</v>
      </c>
      <c r="K30" s="76">
        <v>21735.828197028306</v>
      </c>
      <c r="L30" s="76">
        <v>8569.7493524857855</v>
      </c>
      <c r="M30" s="17">
        <v>0</v>
      </c>
      <c r="N30" s="17">
        <v>2.1382540287763798</v>
      </c>
      <c r="O30" s="17">
        <v>4.3783312236201057</v>
      </c>
      <c r="P30" s="17">
        <v>23.234758379846845</v>
      </c>
      <c r="Q30" s="17">
        <v>27.687447683868253</v>
      </c>
      <c r="R30" s="17">
        <v>10.395862772292691</v>
      </c>
      <c r="S30" s="17">
        <v>0</v>
      </c>
      <c r="T30" s="17">
        <v>0</v>
      </c>
      <c r="U30" s="76">
        <v>2934.3804714423277</v>
      </c>
      <c r="V30" s="76">
        <v>1156.9333782518524</v>
      </c>
      <c r="W30" s="76">
        <v>10792.350658558626</v>
      </c>
    </row>
    <row r="31" spans="1:25" x14ac:dyDescent="0.25">
      <c r="A31" s="97">
        <v>53</v>
      </c>
      <c r="B31" s="86">
        <v>29.060241210937502</v>
      </c>
      <c r="C31" s="87">
        <v>0</v>
      </c>
      <c r="D31" s="87">
        <v>0.42672825222404348</v>
      </c>
      <c r="E31" s="87">
        <v>1.9182225870533867</v>
      </c>
      <c r="F31" s="87">
        <v>20.384524032778813</v>
      </c>
      <c r="G31" s="87">
        <v>183.87678727629114</v>
      </c>
      <c r="H31" s="87">
        <v>212.27499050709008</v>
      </c>
      <c r="I31" s="87">
        <v>33.277134978494445</v>
      </c>
      <c r="J31" s="87">
        <v>0</v>
      </c>
      <c r="K31" s="89">
        <v>27074.021340309399</v>
      </c>
      <c r="L31" s="89">
        <v>9478.5883721431837</v>
      </c>
      <c r="M31" s="87">
        <v>0</v>
      </c>
      <c r="N31" s="87">
        <v>0.28501492197310418</v>
      </c>
      <c r="O31" s="87">
        <v>1.5373714690667182</v>
      </c>
      <c r="P31" s="87">
        <v>10.192629521323003</v>
      </c>
      <c r="Q31" s="87">
        <v>33.516567225007428</v>
      </c>
      <c r="R31" s="87">
        <v>20.589730069335687</v>
      </c>
      <c r="S31" s="87">
        <v>2.0136498109540946</v>
      </c>
      <c r="T31" s="87">
        <v>0</v>
      </c>
      <c r="U31" s="89">
        <v>3388.6108782820756</v>
      </c>
      <c r="V31" s="89">
        <v>1186.3493518334992</v>
      </c>
      <c r="W31" s="89">
        <v>12858.123056467875</v>
      </c>
    </row>
    <row r="32" spans="1:25" x14ac:dyDescent="0.25">
      <c r="A32" s="72">
        <v>59</v>
      </c>
      <c r="B32" s="16">
        <v>31.6609411869049</v>
      </c>
      <c r="C32" s="17">
        <v>0</v>
      </c>
      <c r="D32" s="17">
        <v>0</v>
      </c>
      <c r="E32" s="17">
        <v>0.24916644150603828</v>
      </c>
      <c r="F32" s="17">
        <v>5.5613369223276266</v>
      </c>
      <c r="G32" s="17">
        <v>98.802465521276773</v>
      </c>
      <c r="H32" s="17">
        <v>246.47247463718961</v>
      </c>
      <c r="I32" s="17">
        <v>144.38190536481579</v>
      </c>
      <c r="J32" s="17">
        <v>0</v>
      </c>
      <c r="K32" s="76">
        <v>32782.590880105345</v>
      </c>
      <c r="L32" s="76">
        <v>10191.383395815737</v>
      </c>
      <c r="M32" s="17">
        <v>0</v>
      </c>
      <c r="N32" s="17">
        <v>0</v>
      </c>
      <c r="O32" s="17">
        <v>0.2137696758792772</v>
      </c>
      <c r="P32" s="17">
        <v>3.8479476041076022</v>
      </c>
      <c r="Q32" s="17">
        <v>29.61978021290895</v>
      </c>
      <c r="R32" s="17">
        <v>23.447439937617187</v>
      </c>
      <c r="S32" s="17">
        <v>10.558365161547409</v>
      </c>
      <c r="T32" s="17">
        <v>0</v>
      </c>
      <c r="U32" s="76">
        <v>3701.979370539842</v>
      </c>
      <c r="V32" s="76">
        <v>1150.8636161966128</v>
      </c>
      <c r="W32" s="76">
        <v>14757.267431973927</v>
      </c>
    </row>
    <row r="33" spans="1:25" x14ac:dyDescent="0.25">
      <c r="A33" s="97">
        <v>65</v>
      </c>
      <c r="B33" s="86">
        <v>34.106294673919599</v>
      </c>
      <c r="C33" s="87">
        <v>0</v>
      </c>
      <c r="D33" s="87">
        <v>0</v>
      </c>
      <c r="E33" s="87">
        <v>0</v>
      </c>
      <c r="F33" s="87">
        <v>0.47302016594968316</v>
      </c>
      <c r="G33" s="87">
        <v>30.381597989044646</v>
      </c>
      <c r="H33" s="87">
        <v>226.52246529066434</v>
      </c>
      <c r="I33" s="87">
        <v>238.51997767544955</v>
      </c>
      <c r="J33" s="87">
        <v>41.206758664980249</v>
      </c>
      <c r="K33" s="89">
        <v>38436.347743156155</v>
      </c>
      <c r="L33" s="89">
        <v>10610.380277978649</v>
      </c>
      <c r="M33" s="87">
        <v>0</v>
      </c>
      <c r="N33" s="87">
        <v>0</v>
      </c>
      <c r="O33" s="87">
        <v>0</v>
      </c>
      <c r="P33" s="87">
        <v>0.47302016594968316</v>
      </c>
      <c r="Q33" s="87">
        <v>14.045613602766927</v>
      </c>
      <c r="R33" s="87">
        <v>32.370911265012452</v>
      </c>
      <c r="S33" s="87">
        <v>17.404963273225956</v>
      </c>
      <c r="T33" s="87">
        <v>3.2640697803862859</v>
      </c>
      <c r="U33" s="89">
        <v>4098.472415361045</v>
      </c>
      <c r="V33" s="89">
        <v>1131.3861341971385</v>
      </c>
      <c r="W33" s="89">
        <v>16327.127930333452</v>
      </c>
    </row>
    <row r="34" spans="1:25" x14ac:dyDescent="0.25">
      <c r="A34" s="72">
        <v>71</v>
      </c>
      <c r="B34" s="16">
        <v>36.404045425414999</v>
      </c>
      <c r="C34" s="17">
        <v>0</v>
      </c>
      <c r="D34" s="17">
        <v>0</v>
      </c>
      <c r="E34" s="17">
        <v>0</v>
      </c>
      <c r="F34" s="17">
        <v>0</v>
      </c>
      <c r="G34" s="17">
        <v>7.0985759794607883</v>
      </c>
      <c r="H34" s="17">
        <v>124.76800664360691</v>
      </c>
      <c r="I34" s="17">
        <v>288.0594324621996</v>
      </c>
      <c r="J34" s="17">
        <v>157.02737761910493</v>
      </c>
      <c r="K34" s="76">
        <v>44172.749275023067</v>
      </c>
      <c r="L34" s="76">
        <v>10827.850108268885</v>
      </c>
      <c r="M34" s="17">
        <v>0</v>
      </c>
      <c r="N34" s="17">
        <v>0</v>
      </c>
      <c r="O34" s="17">
        <v>0</v>
      </c>
      <c r="P34" s="17">
        <v>0</v>
      </c>
      <c r="Q34" s="17">
        <v>4.7375497464026397</v>
      </c>
      <c r="R34" s="17">
        <v>31.236320493691704</v>
      </c>
      <c r="S34" s="17">
        <v>20.767701762105006</v>
      </c>
      <c r="T34" s="17">
        <v>9.936396155680816</v>
      </c>
      <c r="U34" s="76">
        <v>4323.0226679882426</v>
      </c>
      <c r="V34" s="76">
        <v>1059.6814151681733</v>
      </c>
      <c r="W34" s="76">
        <v>17675.983894820827</v>
      </c>
    </row>
    <row r="35" spans="1:25" x14ac:dyDescent="0.25">
      <c r="A35" s="97">
        <v>77</v>
      </c>
      <c r="B35" s="86">
        <v>38.5914131965637</v>
      </c>
      <c r="C35" s="87">
        <v>0</v>
      </c>
      <c r="D35" s="87">
        <v>0</v>
      </c>
      <c r="E35" s="87">
        <v>0</v>
      </c>
      <c r="F35" s="87">
        <v>0</v>
      </c>
      <c r="G35" s="87">
        <v>0.68531916869860121</v>
      </c>
      <c r="H35" s="87">
        <v>42.688037696043239</v>
      </c>
      <c r="I35" s="87">
        <v>258.99268057622118</v>
      </c>
      <c r="J35" s="87">
        <v>313.54336423154763</v>
      </c>
      <c r="K35" s="89">
        <v>49525.226619611807</v>
      </c>
      <c r="L35" s="89">
        <v>10779.863107270405</v>
      </c>
      <c r="M35" s="87">
        <v>0</v>
      </c>
      <c r="N35" s="87">
        <v>0</v>
      </c>
      <c r="O35" s="87">
        <v>0</v>
      </c>
      <c r="P35" s="87">
        <v>0</v>
      </c>
      <c r="Q35" s="87">
        <v>0.54367773374356987</v>
      </c>
      <c r="R35" s="87">
        <v>16.231791402134551</v>
      </c>
      <c r="S35" s="87">
        <v>33.68258106348258</v>
      </c>
      <c r="T35" s="87">
        <v>15.892992371793335</v>
      </c>
      <c r="U35" s="89">
        <v>4589.2197597386539</v>
      </c>
      <c r="V35" s="89">
        <v>998.90831715190313</v>
      </c>
      <c r="W35" s="89">
        <v>18687.678308990522</v>
      </c>
    </row>
    <row r="36" spans="1:25" x14ac:dyDescent="0.25">
      <c r="A36" s="72">
        <v>83</v>
      </c>
      <c r="B36" s="16">
        <v>40.676787826538003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8.2376620591851495</v>
      </c>
      <c r="I36" s="17">
        <v>162.01774960405049</v>
      </c>
      <c r="J36" s="17">
        <v>483.110755812202</v>
      </c>
      <c r="K36" s="76">
        <v>54204.244348408378</v>
      </c>
      <c r="L36" s="76">
        <v>10476.568046774088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5.8280171141261565</v>
      </c>
      <c r="S36" s="17">
        <v>32.745940234373975</v>
      </c>
      <c r="T36" s="17">
        <v>26.496142723131697</v>
      </c>
      <c r="U36" s="76">
        <v>4695.3479042964655</v>
      </c>
      <c r="V36" s="76">
        <v>907.51439142762331</v>
      </c>
      <c r="W36" s="76">
        <v>19383.291565646105</v>
      </c>
    </row>
    <row r="37" spans="1:25" x14ac:dyDescent="0.25">
      <c r="A37" s="97">
        <v>89</v>
      </c>
      <c r="B37" s="91">
        <v>42.661905838012601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0.4730290380213607</v>
      </c>
      <c r="I37" s="92">
        <v>51.546009587417736</v>
      </c>
      <c r="J37" s="92">
        <v>639.05277227309739</v>
      </c>
      <c r="K37" s="94">
        <v>58479.511491022145</v>
      </c>
      <c r="L37" s="94">
        <v>10036.642365762305</v>
      </c>
      <c r="M37" s="92">
        <v>0</v>
      </c>
      <c r="N37" s="92">
        <v>0</v>
      </c>
      <c r="O37" s="92">
        <v>0</v>
      </c>
      <c r="P37" s="92">
        <v>0</v>
      </c>
      <c r="Q37" s="92">
        <v>0</v>
      </c>
      <c r="R37" s="92">
        <v>0.4730290380213607</v>
      </c>
      <c r="S37" s="92">
        <v>51.546009587417736</v>
      </c>
      <c r="T37" s="92">
        <v>639.05277227309739</v>
      </c>
      <c r="U37" s="94">
        <v>58479.511491022145</v>
      </c>
      <c r="V37" s="94">
        <v>10036.642365762305</v>
      </c>
      <c r="W37" s="94">
        <v>19850.880276061947</v>
      </c>
    </row>
    <row r="38" spans="1:25" s="6" customFormat="1" x14ac:dyDescent="0.25">
      <c r="A38" s="18" t="s">
        <v>13</v>
      </c>
      <c r="B38" s="19" t="s">
        <v>27</v>
      </c>
      <c r="C38" s="19" t="s">
        <v>27</v>
      </c>
      <c r="D38" s="19" t="s">
        <v>27</v>
      </c>
      <c r="E38" s="19" t="s">
        <v>27</v>
      </c>
      <c r="F38" s="19" t="s">
        <v>27</v>
      </c>
      <c r="G38" s="19" t="s">
        <v>27</v>
      </c>
      <c r="H38" s="19" t="s">
        <v>27</v>
      </c>
      <c r="I38" s="19" t="s">
        <v>27</v>
      </c>
      <c r="J38" s="19" t="s">
        <v>27</v>
      </c>
      <c r="K38" s="19" t="s">
        <v>27</v>
      </c>
      <c r="L38" s="19" t="s">
        <v>27</v>
      </c>
      <c r="M38" s="18">
        <v>16.508843058611649</v>
      </c>
      <c r="N38" s="18">
        <v>69.333078184966467</v>
      </c>
      <c r="O38" s="18">
        <v>38.617449495282663</v>
      </c>
      <c r="P38" s="18">
        <v>78.346265749520356</v>
      </c>
      <c r="Q38" s="18">
        <v>135.19649276916033</v>
      </c>
      <c r="R38" s="18">
        <v>142.44616470140122</v>
      </c>
      <c r="S38" s="18">
        <v>168.71921089310675</v>
      </c>
      <c r="T38" s="18">
        <v>694.64237330408957</v>
      </c>
      <c r="U38" s="19" t="s">
        <v>27</v>
      </c>
      <c r="V38" s="77">
        <v>19850.880276061947</v>
      </c>
      <c r="W38" s="20" t="s">
        <v>27</v>
      </c>
    </row>
    <row r="39" spans="1:25" x14ac:dyDescent="0.25">
      <c r="A39"/>
      <c r="V39" s="2"/>
    </row>
    <row r="40" spans="1:25" x14ac:dyDescent="0.25">
      <c r="H40" s="8"/>
      <c r="I40" s="8"/>
      <c r="J40" s="8"/>
      <c r="W40" s="8" t="s">
        <v>75</v>
      </c>
    </row>
    <row r="41" spans="1:25" x14ac:dyDescent="0.25">
      <c r="V41" s="2"/>
      <c r="W41" s="8" t="s">
        <v>76</v>
      </c>
      <c r="X41" s="2"/>
      <c r="Y41" s="2"/>
    </row>
    <row r="42" spans="1: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V42" s="2"/>
      <c r="W42" s="8"/>
      <c r="X42" s="2"/>
      <c r="Y42" s="8"/>
    </row>
    <row r="43" spans="1:25" x14ac:dyDescent="0.25">
      <c r="V43" s="2"/>
      <c r="W43" s="2"/>
      <c r="X43" s="2"/>
      <c r="Y43" s="2"/>
    </row>
    <row r="44" spans="1:25" x14ac:dyDescent="0.25"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V45" s="2"/>
      <c r="W45" s="2"/>
      <c r="X45" s="2"/>
      <c r="Y45" s="2"/>
    </row>
    <row r="46" spans="1:25" x14ac:dyDescent="0.25">
      <c r="V46" s="2"/>
      <c r="W46" s="2"/>
      <c r="X46" s="2"/>
      <c r="Y46" s="2"/>
    </row>
  </sheetData>
  <mergeCells count="17">
    <mergeCell ref="A23:A24"/>
    <mergeCell ref="B23:B24"/>
    <mergeCell ref="C23:J23"/>
    <mergeCell ref="K23:L23"/>
    <mergeCell ref="M23:T23"/>
    <mergeCell ref="A6:A7"/>
    <mergeCell ref="B6:B7"/>
    <mergeCell ref="C6:F6"/>
    <mergeCell ref="G6:J6"/>
    <mergeCell ref="K6:N6"/>
    <mergeCell ref="D1:T1"/>
    <mergeCell ref="U6:U7"/>
    <mergeCell ref="V6:V7"/>
    <mergeCell ref="W6:W7"/>
    <mergeCell ref="U23:V23"/>
    <mergeCell ref="W23:W24"/>
    <mergeCell ref="O6:T6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A46"/>
  <sheetViews>
    <sheetView workbookViewId="0">
      <selection activeCell="W23" sqref="W23:W24"/>
    </sheetView>
  </sheetViews>
  <sheetFormatPr defaultColWidth="11.42578125" defaultRowHeight="15" x14ac:dyDescent="0.25"/>
  <cols>
    <col min="1" max="21" width="6.7109375" style="2" customWidth="1"/>
    <col min="22" max="23" width="6.7109375" customWidth="1"/>
  </cols>
  <sheetData>
    <row r="1" spans="1:27" ht="30.75" customHeight="1" x14ac:dyDescent="0.4">
      <c r="D1" s="135" t="s">
        <v>70</v>
      </c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</row>
    <row r="2" spans="1:27" x14ac:dyDescent="0.25">
      <c r="A2" s="5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U2" s="8"/>
      <c r="V2" s="8"/>
      <c r="W2" s="8"/>
    </row>
    <row r="3" spans="1:27" x14ac:dyDescent="0.25">
      <c r="A3" s="5" t="s">
        <v>78</v>
      </c>
      <c r="B3" s="5"/>
      <c r="C3" s="5"/>
      <c r="D3" s="7"/>
      <c r="E3" s="7" t="s">
        <v>79</v>
      </c>
      <c r="F3" s="7"/>
      <c r="G3" s="7"/>
      <c r="H3" s="7"/>
      <c r="I3" s="7"/>
      <c r="J3" s="7"/>
      <c r="K3" s="7" t="s">
        <v>84</v>
      </c>
      <c r="L3" s="7"/>
      <c r="M3" s="7"/>
      <c r="N3" s="7"/>
      <c r="R3" s="7" t="s">
        <v>82</v>
      </c>
      <c r="V3" s="2"/>
      <c r="W3" s="2"/>
    </row>
    <row r="4" spans="1:27" x14ac:dyDescent="0.25">
      <c r="A4" s="7"/>
      <c r="B4" s="7"/>
      <c r="C4" s="7"/>
      <c r="D4" s="7"/>
      <c r="E4" s="7" t="s">
        <v>35</v>
      </c>
      <c r="F4" s="7"/>
      <c r="G4" s="7"/>
      <c r="H4" s="7"/>
      <c r="I4" s="7"/>
      <c r="J4" s="7"/>
      <c r="K4" s="7" t="s">
        <v>85</v>
      </c>
      <c r="L4" s="7"/>
      <c r="M4" s="7"/>
      <c r="N4" s="7"/>
      <c r="O4" s="1"/>
      <c r="P4" s="1"/>
      <c r="Q4" s="1"/>
      <c r="R4" s="7" t="s">
        <v>81</v>
      </c>
      <c r="S4" s="1"/>
      <c r="T4" s="1"/>
      <c r="U4" s="1"/>
      <c r="V4" s="1"/>
      <c r="W4" s="7"/>
    </row>
    <row r="5" spans="1:27" x14ac:dyDescent="0.25">
      <c r="A5" s="5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7" x14ac:dyDescent="0.25">
      <c r="A6" s="151" t="s">
        <v>1</v>
      </c>
      <c r="B6" s="151" t="s">
        <v>2</v>
      </c>
      <c r="C6" s="153" t="s">
        <v>104</v>
      </c>
      <c r="D6" s="154"/>
      <c r="E6" s="154"/>
      <c r="F6" s="154"/>
      <c r="G6" s="154" t="s">
        <v>102</v>
      </c>
      <c r="H6" s="154"/>
      <c r="I6" s="154"/>
      <c r="J6" s="154"/>
      <c r="K6" s="154" t="s">
        <v>103</v>
      </c>
      <c r="L6" s="154"/>
      <c r="M6" s="154"/>
      <c r="N6" s="154"/>
      <c r="O6" s="148" t="s">
        <v>3</v>
      </c>
      <c r="P6" s="149"/>
      <c r="Q6" s="149"/>
      <c r="R6" s="149"/>
      <c r="S6" s="149"/>
      <c r="T6" s="150"/>
      <c r="U6" s="141" t="s">
        <v>14</v>
      </c>
      <c r="V6" s="143" t="s">
        <v>63</v>
      </c>
      <c r="W6" s="141" t="s">
        <v>29</v>
      </c>
    </row>
    <row r="7" spans="1:27" x14ac:dyDescent="0.25">
      <c r="A7" s="152"/>
      <c r="B7" s="152"/>
      <c r="C7" s="74" t="s">
        <v>4</v>
      </c>
      <c r="D7" s="74" t="s">
        <v>5</v>
      </c>
      <c r="E7" s="74" t="s">
        <v>6</v>
      </c>
      <c r="F7" s="74" t="s">
        <v>7</v>
      </c>
      <c r="G7" s="74" t="s">
        <v>4</v>
      </c>
      <c r="H7" s="74" t="s">
        <v>5</v>
      </c>
      <c r="I7" s="74" t="s">
        <v>6</v>
      </c>
      <c r="J7" s="74" t="s">
        <v>7</v>
      </c>
      <c r="K7" s="74" t="s">
        <v>4</v>
      </c>
      <c r="L7" s="74" t="s">
        <v>5</v>
      </c>
      <c r="M7" s="74" t="s">
        <v>6</v>
      </c>
      <c r="N7" s="74" t="s">
        <v>7</v>
      </c>
      <c r="O7" s="73" t="s">
        <v>16</v>
      </c>
      <c r="P7" s="74" t="s">
        <v>8</v>
      </c>
      <c r="Q7" s="74" t="s">
        <v>9</v>
      </c>
      <c r="R7" s="74" t="s">
        <v>10</v>
      </c>
      <c r="S7" s="74" t="s">
        <v>11</v>
      </c>
      <c r="T7" s="74" t="s">
        <v>12</v>
      </c>
      <c r="U7" s="142"/>
      <c r="V7" s="144"/>
      <c r="W7" s="145"/>
    </row>
    <row r="8" spans="1:27" s="78" customFormat="1" ht="12" customHeight="1" x14ac:dyDescent="0.2">
      <c r="A8" s="81" t="s">
        <v>60</v>
      </c>
      <c r="B8" s="81" t="s">
        <v>58</v>
      </c>
      <c r="C8" s="81" t="s">
        <v>59</v>
      </c>
      <c r="D8" s="81" t="s">
        <v>54</v>
      </c>
      <c r="E8" s="81" t="s">
        <v>53</v>
      </c>
      <c r="F8" s="81" t="s">
        <v>57</v>
      </c>
      <c r="G8" s="81" t="s">
        <v>59</v>
      </c>
      <c r="H8" s="81" t="s">
        <v>54</v>
      </c>
      <c r="I8" s="81" t="s">
        <v>53</v>
      </c>
      <c r="J8" s="81" t="s">
        <v>57</v>
      </c>
      <c r="K8" s="81" t="s">
        <v>59</v>
      </c>
      <c r="L8" s="81" t="s">
        <v>54</v>
      </c>
      <c r="M8" s="81" t="s">
        <v>53</v>
      </c>
      <c r="N8" s="81" t="s">
        <v>57</v>
      </c>
      <c r="O8" s="81" t="s">
        <v>55</v>
      </c>
      <c r="P8" s="81" t="s">
        <v>52</v>
      </c>
      <c r="Q8" s="81" t="s">
        <v>52</v>
      </c>
      <c r="R8" s="81" t="s">
        <v>56</v>
      </c>
      <c r="S8" s="81" t="s">
        <v>56</v>
      </c>
      <c r="T8" s="81" t="s">
        <v>57</v>
      </c>
      <c r="U8" s="79"/>
      <c r="V8" s="80" t="s">
        <v>62</v>
      </c>
      <c r="W8" s="81" t="s">
        <v>58</v>
      </c>
    </row>
    <row r="9" spans="1:27" x14ac:dyDescent="0.25">
      <c r="A9" s="14">
        <v>13</v>
      </c>
      <c r="B9" s="11">
        <v>13.159977183341899</v>
      </c>
      <c r="C9" s="10">
        <v>2013.62</v>
      </c>
      <c r="D9" s="10">
        <v>42.224779984974248</v>
      </c>
      <c r="E9" s="11">
        <v>28.569487039531669</v>
      </c>
      <c r="F9" s="10">
        <v>150.6338838808085</v>
      </c>
      <c r="G9" s="10">
        <v>800.41999999999985</v>
      </c>
      <c r="H9" s="10">
        <v>39.333541160474041</v>
      </c>
      <c r="I9" s="11">
        <v>9.8544902081467676</v>
      </c>
      <c r="J9" s="10">
        <v>49.844006670350893</v>
      </c>
      <c r="K9" s="10">
        <v>1213.2</v>
      </c>
      <c r="L9" s="10">
        <v>44.028471649312536</v>
      </c>
      <c r="M9" s="11">
        <v>18.714996831384902</v>
      </c>
      <c r="N9" s="10">
        <v>100.7898772104576</v>
      </c>
      <c r="O9" s="11">
        <v>2.8495281464780091</v>
      </c>
      <c r="P9" s="12">
        <v>2.8397490622286852</v>
      </c>
      <c r="Q9" s="12">
        <v>2.1976528491947436</v>
      </c>
      <c r="R9" s="11">
        <v>29.150163847579048</v>
      </c>
      <c r="S9" s="11">
        <v>11.587221836985268</v>
      </c>
      <c r="T9" s="75">
        <v>150.6338838808085</v>
      </c>
      <c r="U9" s="10">
        <v>93.901255464636932</v>
      </c>
      <c r="V9" s="11">
        <v>39.750300453908878</v>
      </c>
      <c r="W9" s="16">
        <v>3.0850945839604269</v>
      </c>
      <c r="Y9" s="9"/>
      <c r="Z9" s="9"/>
      <c r="AA9" s="9"/>
    </row>
    <row r="10" spans="1:27" x14ac:dyDescent="0.25">
      <c r="A10" s="85">
        <v>19</v>
      </c>
      <c r="B10" s="86">
        <v>18.946624261856002</v>
      </c>
      <c r="C10" s="87">
        <v>1202.49</v>
      </c>
      <c r="D10" s="87">
        <v>61.12564052818059</v>
      </c>
      <c r="E10" s="86">
        <v>35.753491204757012</v>
      </c>
      <c r="F10" s="87">
        <v>275.69086029593188</v>
      </c>
      <c r="G10" s="87">
        <v>479.25</v>
      </c>
      <c r="H10" s="87">
        <v>53.326571992825365</v>
      </c>
      <c r="I10" s="86">
        <v>10.845250581939752</v>
      </c>
      <c r="J10" s="87">
        <v>80.317259319818703</v>
      </c>
      <c r="K10" s="87">
        <v>723.24</v>
      </c>
      <c r="L10" s="87">
        <v>65.786266421254098</v>
      </c>
      <c r="M10" s="86">
        <v>24.90824062281726</v>
      </c>
      <c r="N10" s="87">
        <v>195.37360097611318</v>
      </c>
      <c r="O10" s="86">
        <v>2.8937593081995132</v>
      </c>
      <c r="P10" s="88">
        <v>2.4193891047900444</v>
      </c>
      <c r="Q10" s="88">
        <v>2.4004200743633568</v>
      </c>
      <c r="R10" s="86">
        <v>30.9015378018882</v>
      </c>
      <c r="S10" s="86">
        <v>17.133414050856988</v>
      </c>
      <c r="T10" s="89">
        <v>325.53486696628278</v>
      </c>
      <c r="U10" s="87">
        <v>90.478725772682722</v>
      </c>
      <c r="V10" s="86">
        <v>39.85480128732879</v>
      </c>
      <c r="W10" s="86">
        <v>3.9957054444110831</v>
      </c>
    </row>
    <row r="11" spans="1:27" x14ac:dyDescent="0.25">
      <c r="A11" s="15">
        <v>25</v>
      </c>
      <c r="B11" s="16">
        <v>24.453373483657799</v>
      </c>
      <c r="C11" s="17">
        <v>716.58</v>
      </c>
      <c r="D11" s="17">
        <v>83.148822270451177</v>
      </c>
      <c r="E11" s="16">
        <v>39.424575251557528</v>
      </c>
      <c r="F11" s="17">
        <v>380.78282778744239</v>
      </c>
      <c r="G11" s="17">
        <v>239.31000000000006</v>
      </c>
      <c r="H11" s="17">
        <v>72.08306929603684</v>
      </c>
      <c r="I11" s="16">
        <v>9.8950393126674889</v>
      </c>
      <c r="J11" s="17">
        <v>93.44960267824797</v>
      </c>
      <c r="K11" s="17">
        <v>477.27</v>
      </c>
      <c r="L11" s="17">
        <v>88.176158580577621</v>
      </c>
      <c r="M11" s="16">
        <v>29.529535938890039</v>
      </c>
      <c r="N11" s="17">
        <v>287.33322510919442</v>
      </c>
      <c r="O11" s="16">
        <v>2.9346245879779573</v>
      </c>
      <c r="P11" s="13">
        <v>2.1083886452738856</v>
      </c>
      <c r="Q11" s="13">
        <v>2.4049726416657622</v>
      </c>
      <c r="R11" s="16">
        <v>31.361138046637194</v>
      </c>
      <c r="S11" s="16">
        <v>20.43776375110448</v>
      </c>
      <c r="T11" s="76">
        <v>510.94409377761201</v>
      </c>
      <c r="U11" s="17">
        <v>87.123934324655792</v>
      </c>
      <c r="V11" s="16">
        <v>33.396131625219802</v>
      </c>
      <c r="W11" s="16">
        <v>4.918725832641198</v>
      </c>
    </row>
    <row r="12" spans="1:27" x14ac:dyDescent="0.25">
      <c r="A12" s="85">
        <v>31</v>
      </c>
      <c r="B12" s="86">
        <v>29.581287256240799</v>
      </c>
      <c r="C12" s="87">
        <v>473.66999999999996</v>
      </c>
      <c r="D12" s="87">
        <v>105.78390610844536</v>
      </c>
      <c r="E12" s="86">
        <v>42.179867810533352</v>
      </c>
      <c r="F12" s="87">
        <v>475.50005338901758</v>
      </c>
      <c r="G12" s="87">
        <v>138.77999999999992</v>
      </c>
      <c r="H12" s="87">
        <v>91.57137213194089</v>
      </c>
      <c r="I12" s="86">
        <v>9.2605432159634375</v>
      </c>
      <c r="J12" s="87">
        <v>103.05173089610639</v>
      </c>
      <c r="K12" s="87">
        <v>334.89000000000004</v>
      </c>
      <c r="L12" s="87">
        <v>111.14227964799551</v>
      </c>
      <c r="M12" s="86">
        <v>32.919324594569915</v>
      </c>
      <c r="N12" s="87">
        <v>372.44832249291119</v>
      </c>
      <c r="O12" s="86">
        <v>2.9885797469882647</v>
      </c>
      <c r="P12" s="88">
        <v>1.8674558366760887</v>
      </c>
      <c r="Q12" s="88">
        <v>2.3475692875253991</v>
      </c>
      <c r="R12" s="86">
        <v>31.085341375056753</v>
      </c>
      <c r="S12" s="86">
        <v>22.551965227659199</v>
      </c>
      <c r="T12" s="89">
        <v>699.11092205743512</v>
      </c>
      <c r="U12" s="87">
        <v>83.615663654071483</v>
      </c>
      <c r="V12" s="86">
        <v>29.298878966368974</v>
      </c>
      <c r="W12" s="86">
        <v>5.8719668405658023</v>
      </c>
    </row>
    <row r="13" spans="1:27" x14ac:dyDescent="0.25">
      <c r="A13" s="15">
        <v>37</v>
      </c>
      <c r="B13" s="16">
        <v>34.291244865417397</v>
      </c>
      <c r="C13" s="17">
        <v>332.82</v>
      </c>
      <c r="D13" s="17">
        <v>129.0737581299251</v>
      </c>
      <c r="E13" s="16">
        <v>44.124059614626447</v>
      </c>
      <c r="F13" s="17">
        <v>558.9603707432517</v>
      </c>
      <c r="G13" s="17">
        <v>86.579999999999956</v>
      </c>
      <c r="H13" s="17">
        <v>114.23211721740225</v>
      </c>
      <c r="I13" s="16">
        <v>8.9905067186287511</v>
      </c>
      <c r="J13" s="17">
        <v>113.4890036776539</v>
      </c>
      <c r="K13" s="17">
        <v>246.24000000000004</v>
      </c>
      <c r="L13" s="17">
        <v>133.90187731070776</v>
      </c>
      <c r="M13" s="16">
        <v>35.133552895997695</v>
      </c>
      <c r="N13" s="17">
        <v>445.4713670655978</v>
      </c>
      <c r="O13" s="16">
        <v>3.0343331714840551</v>
      </c>
      <c r="P13" s="13">
        <v>1.6674224424851261</v>
      </c>
      <c r="Q13" s="13">
        <v>2.2697130522525373</v>
      </c>
      <c r="R13" s="16">
        <v>30.220752030548709</v>
      </c>
      <c r="S13" s="16">
        <v>23.935755954264206</v>
      </c>
      <c r="T13" s="76">
        <v>885.62297030777563</v>
      </c>
      <c r="U13" s="17">
        <v>80.453780869455528</v>
      </c>
      <c r="V13" s="16">
        <v>26.014061654948609</v>
      </c>
      <c r="W13" s="16">
        <v>6.8478680417927054</v>
      </c>
      <c r="Y13" s="9"/>
      <c r="AA13" s="9"/>
    </row>
    <row r="14" spans="1:27" x14ac:dyDescent="0.25">
      <c r="A14" s="85">
        <v>43</v>
      </c>
      <c r="B14" s="86">
        <v>38.565693855285602</v>
      </c>
      <c r="C14" s="87">
        <v>245.16</v>
      </c>
      <c r="D14" s="87">
        <v>152.10787633961209</v>
      </c>
      <c r="E14" s="86">
        <v>45.138087550908452</v>
      </c>
      <c r="F14" s="87">
        <v>626.79587924889006</v>
      </c>
      <c r="G14" s="87">
        <v>55.349999999999994</v>
      </c>
      <c r="H14" s="87">
        <v>134.95409667729405</v>
      </c>
      <c r="I14" s="86">
        <v>8.0219491797476721</v>
      </c>
      <c r="J14" s="87">
        <v>111.36778167634293</v>
      </c>
      <c r="K14" s="87">
        <v>189.81</v>
      </c>
      <c r="L14" s="87">
        <v>156.75694101620849</v>
      </c>
      <c r="M14" s="86">
        <v>37.11613837116078</v>
      </c>
      <c r="N14" s="87">
        <v>515.42809757254713</v>
      </c>
      <c r="O14" s="86">
        <v>3.0673715233096837</v>
      </c>
      <c r="P14" s="88">
        <v>1.5121874395033501</v>
      </c>
      <c r="Q14" s="88">
        <v>2.1856725020524337</v>
      </c>
      <c r="R14" s="86">
        <v>29.348352430562993</v>
      </c>
      <c r="S14" s="86">
        <v>24.812732150955068</v>
      </c>
      <c r="T14" s="89">
        <v>1066.9474824910678</v>
      </c>
      <c r="U14" s="87">
        <v>77.290166362605092</v>
      </c>
      <c r="V14" s="86">
        <v>22.577092511013213</v>
      </c>
      <c r="W14" s="86">
        <v>7.7996504468706656</v>
      </c>
      <c r="Y14" s="9"/>
    </row>
    <row r="15" spans="1:27" x14ac:dyDescent="0.25">
      <c r="A15" s="15">
        <v>49</v>
      </c>
      <c r="B15" s="16">
        <v>42.462768459320003</v>
      </c>
      <c r="C15" s="17">
        <v>189.18</v>
      </c>
      <c r="D15" s="17">
        <v>175.16117015606659</v>
      </c>
      <c r="E15" s="16">
        <v>46.18926300818088</v>
      </c>
      <c r="F15" s="17">
        <v>691.51821215592508</v>
      </c>
      <c r="G15" s="17">
        <v>37.53</v>
      </c>
      <c r="H15" s="17">
        <v>155.98344012218737</v>
      </c>
      <c r="I15" s="16">
        <v>7.2665068757208289</v>
      </c>
      <c r="J15" s="17">
        <v>108.89928426355732</v>
      </c>
      <c r="K15" s="17">
        <v>151.65</v>
      </c>
      <c r="L15" s="17">
        <v>179.59139226658073</v>
      </c>
      <c r="M15" s="16">
        <v>38.922756132460052</v>
      </c>
      <c r="N15" s="17">
        <v>582.61892789236776</v>
      </c>
      <c r="O15" s="16">
        <v>3.0738877665896354</v>
      </c>
      <c r="P15" s="13">
        <v>1.3867769507554801</v>
      </c>
      <c r="Q15" s="13">
        <v>2.1032049433729543</v>
      </c>
      <c r="R15" s="16">
        <v>28.479078471245675</v>
      </c>
      <c r="S15" s="16">
        <v>25.368114226009098</v>
      </c>
      <c r="T15" s="76">
        <v>1243.0375970744458</v>
      </c>
      <c r="U15" s="17">
        <v>74.280131001416592</v>
      </c>
      <c r="V15" s="16">
        <v>19.838249286393911</v>
      </c>
      <c r="W15" s="16">
        <v>8.7259652036812341</v>
      </c>
      <c r="Y15" s="9"/>
    </row>
    <row r="16" spans="1:27" x14ac:dyDescent="0.25">
      <c r="A16" s="85">
        <v>55</v>
      </c>
      <c r="B16" s="86">
        <v>46.024901798248202</v>
      </c>
      <c r="C16" s="87">
        <v>151.38</v>
      </c>
      <c r="D16" s="87">
        <v>198.03471886611854</v>
      </c>
      <c r="E16" s="86">
        <v>47.243417836992933</v>
      </c>
      <c r="F16" s="87">
        <v>753.49339871984182</v>
      </c>
      <c r="G16" s="87">
        <v>26.279999999999987</v>
      </c>
      <c r="H16" s="87">
        <v>178.84903825678393</v>
      </c>
      <c r="I16" s="86">
        <v>6.6894238630456258</v>
      </c>
      <c r="J16" s="87">
        <v>106.96775110869589</v>
      </c>
      <c r="K16" s="87">
        <v>125.10000000000001</v>
      </c>
      <c r="L16" s="87">
        <v>201.83342653751515</v>
      </c>
      <c r="M16" s="86">
        <v>40.553993973947307</v>
      </c>
      <c r="N16" s="87">
        <v>646.52564761114593</v>
      </c>
      <c r="O16" s="86">
        <v>3.0658690145994711</v>
      </c>
      <c r="P16" s="88">
        <v>1.2823930678038618</v>
      </c>
      <c r="Q16" s="88">
        <v>2.0250491623601388</v>
      </c>
      <c r="R16" s="86">
        <v>27.617592017923055</v>
      </c>
      <c r="S16" s="86">
        <v>25.707492143671267</v>
      </c>
      <c r="T16" s="89">
        <v>1413.9120679019197</v>
      </c>
      <c r="U16" s="87">
        <v>71.639022263090169</v>
      </c>
      <c r="V16" s="86">
        <v>17.360285374554095</v>
      </c>
      <c r="W16" s="86">
        <v>9.6074034634386347</v>
      </c>
      <c r="Y16" s="9"/>
    </row>
    <row r="17" spans="1:25" x14ac:dyDescent="0.25">
      <c r="A17" s="15">
        <v>61</v>
      </c>
      <c r="B17" s="16">
        <v>49.287196666717499</v>
      </c>
      <c r="C17" s="17">
        <v>125.01</v>
      </c>
      <c r="D17" s="17">
        <v>220.22864062511198</v>
      </c>
      <c r="E17" s="16">
        <v>48.248352380770477</v>
      </c>
      <c r="F17" s="17">
        <v>812.23119971868425</v>
      </c>
      <c r="G17" s="17">
        <v>19.440000000000012</v>
      </c>
      <c r="H17" s="17">
        <v>200.5581775605782</v>
      </c>
      <c r="I17" s="16">
        <v>6.2225321015640702</v>
      </c>
      <c r="J17" s="17">
        <v>105.30243639159391</v>
      </c>
      <c r="K17" s="17">
        <v>105.57</v>
      </c>
      <c r="L17" s="17">
        <v>223.66229182074952</v>
      </c>
      <c r="M17" s="16">
        <v>42.025820279206407</v>
      </c>
      <c r="N17" s="17">
        <v>706.92876332709034</v>
      </c>
      <c r="O17" s="16">
        <v>3.0532078793607695</v>
      </c>
      <c r="P17" s="13">
        <v>1.1943754983259349</v>
      </c>
      <c r="Q17" s="13">
        <v>1.9520010219119805</v>
      </c>
      <c r="R17" s="16">
        <v>26.781631435866888</v>
      </c>
      <c r="S17" s="16">
        <v>25.895370819827185</v>
      </c>
      <c r="T17" s="76">
        <v>1579.6176200094583</v>
      </c>
      <c r="U17" s="17">
        <v>69.229503866610315</v>
      </c>
      <c r="V17" s="16">
        <v>15.550755939524846</v>
      </c>
      <c r="W17" s="16">
        <v>10.458380137788714</v>
      </c>
      <c r="Y17" s="9"/>
    </row>
    <row r="18" spans="1:25" x14ac:dyDescent="0.25">
      <c r="A18" s="85">
        <v>67</v>
      </c>
      <c r="B18" s="86">
        <v>52.264826141357403</v>
      </c>
      <c r="C18" s="87">
        <v>105.57</v>
      </c>
      <c r="D18" s="87">
        <v>241.98153909691413</v>
      </c>
      <c r="E18" s="86">
        <v>49.192073269162016</v>
      </c>
      <c r="F18" s="87">
        <v>867.61855194229167</v>
      </c>
      <c r="G18" s="87">
        <v>14.579999999999998</v>
      </c>
      <c r="H18" s="87">
        <v>223.44387156262354</v>
      </c>
      <c r="I18" s="86">
        <v>5.792746924726913</v>
      </c>
      <c r="J18" s="87">
        <v>103.47151718089697</v>
      </c>
      <c r="K18" s="87">
        <v>90.99</v>
      </c>
      <c r="L18" s="87">
        <v>244.82152208132396</v>
      </c>
      <c r="M18" s="86">
        <v>43.399326344435103</v>
      </c>
      <c r="N18" s="87">
        <v>764.14703476139471</v>
      </c>
      <c r="O18" s="86">
        <v>3.0409268499251048</v>
      </c>
      <c r="P18" s="88">
        <v>1.1182997905626297</v>
      </c>
      <c r="Q18" s="88">
        <v>1.8841539600983048</v>
      </c>
      <c r="R18" s="86">
        <v>25.958417696226888</v>
      </c>
      <c r="S18" s="86">
        <v>25.974737442159096</v>
      </c>
      <c r="T18" s="89">
        <v>1740.3074086246595</v>
      </c>
      <c r="U18" s="87">
        <v>67.067140360435516</v>
      </c>
      <c r="V18" s="86">
        <v>13.810741687979538</v>
      </c>
      <c r="W18" s="86">
        <v>11.265172637814278</v>
      </c>
      <c r="Y18" s="9"/>
    </row>
    <row r="19" spans="1:25" x14ac:dyDescent="0.25">
      <c r="A19" s="15">
        <v>73</v>
      </c>
      <c r="B19" s="16">
        <v>54.944139572143499</v>
      </c>
      <c r="C19" s="17">
        <v>90.99</v>
      </c>
      <c r="D19" s="17">
        <v>263.06708318087459</v>
      </c>
      <c r="E19" s="16">
        <v>50.109125087810881</v>
      </c>
      <c r="F19" s="17">
        <v>919.89754093875604</v>
      </c>
      <c r="G19" s="17">
        <v>11.609999999999985</v>
      </c>
      <c r="H19" s="17">
        <v>242.8710340823518</v>
      </c>
      <c r="I19" s="16">
        <v>5.4497151093546918</v>
      </c>
      <c r="J19" s="17">
        <v>98.254292674601743</v>
      </c>
      <c r="K19" s="17">
        <v>79.38000000000001</v>
      </c>
      <c r="L19" s="17">
        <v>265.89237011002677</v>
      </c>
      <c r="M19" s="16">
        <v>44.659409978456189</v>
      </c>
      <c r="N19" s="17">
        <v>821.64324826415429</v>
      </c>
      <c r="O19" s="16">
        <v>3.0333939667129735</v>
      </c>
      <c r="P19" s="13">
        <v>1.0538552812244848</v>
      </c>
      <c r="Q19" s="13">
        <v>1.8212070420542763</v>
      </c>
      <c r="R19" s="16">
        <v>25.308764178730939</v>
      </c>
      <c r="S19" s="16">
        <v>25.973396093178369</v>
      </c>
      <c r="T19" s="76">
        <v>1896.0579148020211</v>
      </c>
      <c r="U19" s="17">
        <v>64.918036258893409</v>
      </c>
      <c r="V19" s="16">
        <v>12.759643916913932</v>
      </c>
      <c r="W19" s="16">
        <v>12.060883899231628</v>
      </c>
      <c r="Y19" s="9"/>
    </row>
    <row r="20" spans="1:25" x14ac:dyDescent="0.25">
      <c r="A20" s="90">
        <v>79</v>
      </c>
      <c r="B20" s="91">
        <v>57.723950924516501</v>
      </c>
      <c r="C20" s="92">
        <v>79.38000000000001</v>
      </c>
      <c r="D20" s="92">
        <v>284.09273391030462</v>
      </c>
      <c r="E20" s="91">
        <v>50.982541665803097</v>
      </c>
      <c r="F20" s="92">
        <v>973.49583333653993</v>
      </c>
      <c r="G20" s="92">
        <v>79.38000000000001</v>
      </c>
      <c r="H20" s="92">
        <v>284.09273391030462</v>
      </c>
      <c r="I20" s="91">
        <v>50.982541665803097</v>
      </c>
      <c r="J20" s="92">
        <v>973.49583333653993</v>
      </c>
      <c r="K20" s="92" t="s">
        <v>27</v>
      </c>
      <c r="L20" s="92" t="s">
        <v>27</v>
      </c>
      <c r="M20" s="91" t="s">
        <v>27</v>
      </c>
      <c r="N20" s="92" t="s">
        <v>27</v>
      </c>
      <c r="O20" s="91" t="s">
        <v>27</v>
      </c>
      <c r="P20" s="93" t="s">
        <v>27</v>
      </c>
      <c r="Q20" s="93">
        <v>1.7629271614849251</v>
      </c>
      <c r="R20" s="91" t="s">
        <v>27</v>
      </c>
      <c r="S20" s="91">
        <v>25.922917719929195</v>
      </c>
      <c r="T20" s="94">
        <v>2047.9104998744065</v>
      </c>
      <c r="U20" s="92">
        <v>63.833079313423809</v>
      </c>
      <c r="V20" s="95" t="s">
        <v>27</v>
      </c>
      <c r="W20" s="96" t="s">
        <v>27</v>
      </c>
    </row>
    <row r="22" spans="1:25" x14ac:dyDescent="0.25">
      <c r="A22" s="5" t="s">
        <v>30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5" ht="15" customHeight="1" x14ac:dyDescent="0.25">
      <c r="A23" s="141" t="s">
        <v>1</v>
      </c>
      <c r="B23" s="141" t="s">
        <v>2</v>
      </c>
      <c r="C23" s="146" t="s">
        <v>31</v>
      </c>
      <c r="D23" s="155"/>
      <c r="E23" s="155"/>
      <c r="F23" s="155"/>
      <c r="G23" s="155"/>
      <c r="H23" s="155"/>
      <c r="I23" s="155"/>
      <c r="J23" s="147"/>
      <c r="K23" s="146" t="s">
        <v>109</v>
      </c>
      <c r="L23" s="147"/>
      <c r="M23" s="146" t="s">
        <v>32</v>
      </c>
      <c r="N23" s="155"/>
      <c r="O23" s="155"/>
      <c r="P23" s="155"/>
      <c r="Q23" s="155"/>
      <c r="R23" s="155"/>
      <c r="S23" s="155"/>
      <c r="T23" s="147"/>
      <c r="U23" s="146" t="s">
        <v>110</v>
      </c>
      <c r="V23" s="147"/>
      <c r="W23" s="143" t="s">
        <v>107</v>
      </c>
    </row>
    <row r="24" spans="1:25" x14ac:dyDescent="0.25">
      <c r="A24" s="145"/>
      <c r="B24" s="145"/>
      <c r="C24" s="82" t="s">
        <v>19</v>
      </c>
      <c r="D24" s="82" t="s">
        <v>20</v>
      </c>
      <c r="E24" s="82" t="s">
        <v>21</v>
      </c>
      <c r="F24" s="82" t="s">
        <v>22</v>
      </c>
      <c r="G24" s="82" t="s">
        <v>23</v>
      </c>
      <c r="H24" s="82" t="s">
        <v>24</v>
      </c>
      <c r="I24" s="82" t="s">
        <v>25</v>
      </c>
      <c r="J24" s="82" t="s">
        <v>26</v>
      </c>
      <c r="K24" s="98" t="s">
        <v>109</v>
      </c>
      <c r="L24" s="98" t="s">
        <v>106</v>
      </c>
      <c r="M24" s="82" t="s">
        <v>19</v>
      </c>
      <c r="N24" s="82" t="s">
        <v>20</v>
      </c>
      <c r="O24" s="82" t="s">
        <v>21</v>
      </c>
      <c r="P24" s="82" t="s">
        <v>22</v>
      </c>
      <c r="Q24" s="82" t="s">
        <v>23</v>
      </c>
      <c r="R24" s="82" t="s">
        <v>24</v>
      </c>
      <c r="S24" s="82" t="s">
        <v>25</v>
      </c>
      <c r="T24" s="82" t="s">
        <v>26</v>
      </c>
      <c r="U24" s="98" t="s">
        <v>110</v>
      </c>
      <c r="V24" s="98" t="s">
        <v>106</v>
      </c>
      <c r="W24" s="144"/>
    </row>
    <row r="25" spans="1:25" s="78" customFormat="1" ht="12" x14ac:dyDescent="0.2">
      <c r="A25" s="81" t="s">
        <v>60</v>
      </c>
      <c r="B25" s="81" t="s">
        <v>58</v>
      </c>
      <c r="C25" s="81" t="s">
        <v>57</v>
      </c>
      <c r="D25" s="81" t="s">
        <v>57</v>
      </c>
      <c r="E25" s="81" t="s">
        <v>57</v>
      </c>
      <c r="F25" s="81" t="s">
        <v>57</v>
      </c>
      <c r="G25" s="81" t="s">
        <v>57</v>
      </c>
      <c r="H25" s="81" t="s">
        <v>57</v>
      </c>
      <c r="I25" s="81" t="s">
        <v>57</v>
      </c>
      <c r="J25" s="81" t="s">
        <v>57</v>
      </c>
      <c r="K25" s="81" t="s">
        <v>64</v>
      </c>
      <c r="L25" s="81" t="s">
        <v>64</v>
      </c>
      <c r="M25" s="81" t="s">
        <v>57</v>
      </c>
      <c r="N25" s="81" t="s">
        <v>57</v>
      </c>
      <c r="O25" s="81" t="s">
        <v>57</v>
      </c>
      <c r="P25" s="81" t="s">
        <v>57</v>
      </c>
      <c r="Q25" s="81" t="s">
        <v>57</v>
      </c>
      <c r="R25" s="81" t="s">
        <v>57</v>
      </c>
      <c r="S25" s="81" t="s">
        <v>57</v>
      </c>
      <c r="T25" s="81" t="s">
        <v>57</v>
      </c>
      <c r="U25" s="81" t="s">
        <v>64</v>
      </c>
      <c r="V25" s="81" t="s">
        <v>64</v>
      </c>
      <c r="W25" s="81" t="s">
        <v>64</v>
      </c>
    </row>
    <row r="26" spans="1:25" x14ac:dyDescent="0.25">
      <c r="A26" s="72">
        <v>13</v>
      </c>
      <c r="B26" s="16">
        <v>13.159977183341899</v>
      </c>
      <c r="C26" s="17">
        <v>41.741259239627837</v>
      </c>
      <c r="D26" s="17">
        <v>87.38540187979757</v>
      </c>
      <c r="E26" s="17">
        <v>21.228497783995959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76">
        <v>1918.8699158238244</v>
      </c>
      <c r="L26" s="76">
        <v>1483.3488563294443</v>
      </c>
      <c r="M26" s="17">
        <v>19.253792982128147</v>
      </c>
      <c r="N26" s="17">
        <v>24.809333820569066</v>
      </c>
      <c r="O26" s="17">
        <v>5.5021548902659276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76">
        <v>517.77945578845288</v>
      </c>
      <c r="V26" s="76">
        <v>400.26036014272466</v>
      </c>
      <c r="W26" s="76">
        <v>1483.3488563294443</v>
      </c>
    </row>
    <row r="27" spans="1:25" x14ac:dyDescent="0.25">
      <c r="A27" s="97">
        <v>19</v>
      </c>
      <c r="B27" s="86">
        <v>18.946624261856002</v>
      </c>
      <c r="C27" s="87">
        <v>9.6551020422800686</v>
      </c>
      <c r="D27" s="87">
        <v>78.798829706299784</v>
      </c>
      <c r="E27" s="87">
        <v>62.332397213778641</v>
      </c>
      <c r="F27" s="87">
        <v>101.73356669003928</v>
      </c>
      <c r="G27" s="87">
        <v>22.749981047223979</v>
      </c>
      <c r="H27" s="87">
        <v>0</v>
      </c>
      <c r="I27" s="87">
        <v>0</v>
      </c>
      <c r="J27" s="87">
        <v>0</v>
      </c>
      <c r="K27" s="89">
        <v>8021.1705800782584</v>
      </c>
      <c r="L27" s="89">
        <v>5505.9782155296461</v>
      </c>
      <c r="M27" s="87">
        <v>7.1969768031199015</v>
      </c>
      <c r="N27" s="87">
        <v>34.957950152470097</v>
      </c>
      <c r="O27" s="87">
        <v>13.403612086334206</v>
      </c>
      <c r="P27" s="87">
        <v>20.553211126279145</v>
      </c>
      <c r="Q27" s="87">
        <v>3.7845255553053816</v>
      </c>
      <c r="R27" s="87">
        <v>0</v>
      </c>
      <c r="S27" s="87">
        <v>0</v>
      </c>
      <c r="T27" s="87">
        <v>0</v>
      </c>
      <c r="U27" s="89">
        <v>1707.5719389002215</v>
      </c>
      <c r="V27" s="89">
        <v>1172.1299033815851</v>
      </c>
      <c r="W27" s="89">
        <v>5906.2385756723706</v>
      </c>
    </row>
    <row r="28" spans="1:25" x14ac:dyDescent="0.25">
      <c r="A28" s="72">
        <v>25</v>
      </c>
      <c r="B28" s="16">
        <v>24.453373483657799</v>
      </c>
      <c r="C28" s="17">
        <v>1.2054096634745473</v>
      </c>
      <c r="D28" s="17">
        <v>23.067582157519624</v>
      </c>
      <c r="E28" s="17">
        <v>32.328005730040253</v>
      </c>
      <c r="F28" s="17">
        <v>129.15288666019745</v>
      </c>
      <c r="G28" s="17">
        <v>178.88411094471954</v>
      </c>
      <c r="H28" s="17">
        <v>15.573477167949708</v>
      </c>
      <c r="I28" s="17">
        <v>0</v>
      </c>
      <c r="J28" s="17">
        <v>0</v>
      </c>
      <c r="K28" s="76">
        <v>16813.340844126295</v>
      </c>
      <c r="L28" s="76">
        <v>10248.250281208973</v>
      </c>
      <c r="M28" s="17">
        <v>1.0329743591771037</v>
      </c>
      <c r="N28" s="17">
        <v>14.191858050169584</v>
      </c>
      <c r="O28" s="17">
        <v>14.601339974894485</v>
      </c>
      <c r="P28" s="17">
        <v>33.159630399691849</v>
      </c>
      <c r="Q28" s="17">
        <v>27.294617443392532</v>
      </c>
      <c r="R28" s="17">
        <v>2.5978269873808073</v>
      </c>
      <c r="S28" s="17">
        <v>0</v>
      </c>
      <c r="T28" s="17">
        <v>0</v>
      </c>
      <c r="U28" s="76">
        <v>3199.847405625494</v>
      </c>
      <c r="V28" s="76">
        <v>1950.4057747085633</v>
      </c>
      <c r="W28" s="76">
        <v>11820.640544733284</v>
      </c>
    </row>
    <row r="29" spans="1:25" x14ac:dyDescent="0.25">
      <c r="A29" s="97">
        <v>31</v>
      </c>
      <c r="B29" s="86">
        <v>29.581287256240799</v>
      </c>
      <c r="C29" s="87">
        <v>0</v>
      </c>
      <c r="D29" s="87">
        <v>5.253909180929055</v>
      </c>
      <c r="E29" s="87">
        <v>10.24060704714044</v>
      </c>
      <c r="F29" s="87">
        <v>58.836382337035928</v>
      </c>
      <c r="G29" s="87">
        <v>216.86023857562145</v>
      </c>
      <c r="H29" s="87">
        <v>183.18982230427389</v>
      </c>
      <c r="I29" s="87">
        <v>0.38893711168901968</v>
      </c>
      <c r="J29" s="87">
        <v>0</v>
      </c>
      <c r="K29" s="89">
        <v>26201.231292265966</v>
      </c>
      <c r="L29" s="89">
        <v>14181.310835185845</v>
      </c>
      <c r="M29" s="87">
        <v>0</v>
      </c>
      <c r="N29" s="87">
        <v>4.1491781772997944</v>
      </c>
      <c r="O29" s="87">
        <v>6.0646754911276517</v>
      </c>
      <c r="P29" s="87">
        <v>25.703792500074432</v>
      </c>
      <c r="Q29" s="87">
        <v>41.633823366813061</v>
      </c>
      <c r="R29" s="87">
        <v>24.770104528462866</v>
      </c>
      <c r="S29" s="87">
        <v>0</v>
      </c>
      <c r="T29" s="87">
        <v>0</v>
      </c>
      <c r="U29" s="89">
        <v>4613.9504370621426</v>
      </c>
      <c r="V29" s="89">
        <v>2497.2820779393642</v>
      </c>
      <c r="W29" s="89">
        <v>17704.106873418717</v>
      </c>
    </row>
    <row r="30" spans="1:25" x14ac:dyDescent="0.25">
      <c r="A30" s="72">
        <v>37</v>
      </c>
      <c r="B30" s="16">
        <v>34.291244865417397</v>
      </c>
      <c r="C30" s="17">
        <v>0</v>
      </c>
      <c r="D30" s="17">
        <v>0.40971015041485587</v>
      </c>
      <c r="E30" s="17">
        <v>2.181299829470468</v>
      </c>
      <c r="F30" s="17">
        <v>17.138757255136859</v>
      </c>
      <c r="G30" s="17">
        <v>116.26876916802955</v>
      </c>
      <c r="H30" s="17">
        <v>262.2027040374158</v>
      </c>
      <c r="I30" s="17">
        <v>159.7072148285865</v>
      </c>
      <c r="J30" s="17">
        <v>0</v>
      </c>
      <c r="K30" s="76">
        <v>36444.246278839513</v>
      </c>
      <c r="L30" s="76">
        <v>17515.503159829463</v>
      </c>
      <c r="M30" s="17">
        <v>0</v>
      </c>
      <c r="N30" s="17">
        <v>0.32592020284994855</v>
      </c>
      <c r="O30" s="17">
        <v>1.720227468941802</v>
      </c>
      <c r="P30" s="17">
        <v>10.472924427984811</v>
      </c>
      <c r="Q30" s="17">
        <v>41.380612010357041</v>
      </c>
      <c r="R30" s="17">
        <v>36.557973999837806</v>
      </c>
      <c r="S30" s="17">
        <v>21.979430093485529</v>
      </c>
      <c r="T30" s="17">
        <v>0</v>
      </c>
      <c r="U30" s="76">
        <v>6132.9684435610325</v>
      </c>
      <c r="V30" s="76">
        <v>2947.5716778563119</v>
      </c>
      <c r="W30" s="76">
        <v>23535.5812760017</v>
      </c>
    </row>
    <row r="31" spans="1:25" x14ac:dyDescent="0.25">
      <c r="A31" s="97">
        <v>43</v>
      </c>
      <c r="B31" s="86">
        <v>38.565693855285602</v>
      </c>
      <c r="C31" s="87">
        <v>0</v>
      </c>
      <c r="D31" s="87">
        <v>0</v>
      </c>
      <c r="E31" s="87">
        <v>0</v>
      </c>
      <c r="F31" s="87">
        <v>4.4551822507673062</v>
      </c>
      <c r="G31" s="87">
        <v>41.674504823468283</v>
      </c>
      <c r="H31" s="87">
        <v>187.11501513032519</v>
      </c>
      <c r="I31" s="87">
        <v>275.82503439781169</v>
      </c>
      <c r="J31" s="87">
        <v>116.62329295735951</v>
      </c>
      <c r="K31" s="89">
        <v>45891.523516718298</v>
      </c>
      <c r="L31" s="89">
        <v>19585.068279705385</v>
      </c>
      <c r="M31" s="87">
        <v>0</v>
      </c>
      <c r="N31" s="87">
        <v>0</v>
      </c>
      <c r="O31" s="87">
        <v>0</v>
      </c>
      <c r="P31" s="87">
        <v>3.5310057163575777</v>
      </c>
      <c r="Q31" s="87">
        <v>22.123012124594165</v>
      </c>
      <c r="R31" s="87">
        <v>40.715869193684085</v>
      </c>
      <c r="S31" s="87">
        <v>28.080187367223566</v>
      </c>
      <c r="T31" s="87">
        <v>15.814857585325814</v>
      </c>
      <c r="U31" s="89">
        <v>6817.472520471093</v>
      </c>
      <c r="V31" s="89">
        <v>2909.4842484320643</v>
      </c>
      <c r="W31" s="89">
        <v>28552.718073733933</v>
      </c>
    </row>
    <row r="32" spans="1:25" x14ac:dyDescent="0.25">
      <c r="A32" s="72">
        <v>49</v>
      </c>
      <c r="B32" s="16">
        <v>42.462768459320003</v>
      </c>
      <c r="C32" s="17">
        <v>0</v>
      </c>
      <c r="D32" s="17">
        <v>0</v>
      </c>
      <c r="E32" s="17">
        <v>0</v>
      </c>
      <c r="F32" s="17">
        <v>0</v>
      </c>
      <c r="G32" s="17">
        <v>8.8465532670938174</v>
      </c>
      <c r="H32" s="17">
        <v>73.101827532767828</v>
      </c>
      <c r="I32" s="17">
        <v>273.88893316968051</v>
      </c>
      <c r="J32" s="17">
        <v>334.61790822198856</v>
      </c>
      <c r="K32" s="76">
        <v>54902.577555358301</v>
      </c>
      <c r="L32" s="76">
        <v>20805.795129702616</v>
      </c>
      <c r="M32" s="17">
        <v>0</v>
      </c>
      <c r="N32" s="17">
        <v>0</v>
      </c>
      <c r="O32" s="17">
        <v>0</v>
      </c>
      <c r="P32" s="17">
        <v>0</v>
      </c>
      <c r="Q32" s="17">
        <v>7.4244722830409806</v>
      </c>
      <c r="R32" s="17">
        <v>31.638823723245299</v>
      </c>
      <c r="S32" s="17">
        <v>38.840677438799275</v>
      </c>
      <c r="T32" s="17">
        <v>29.932320854078505</v>
      </c>
      <c r="U32" s="76">
        <v>7289.5941437462025</v>
      </c>
      <c r="V32" s="76">
        <v>2762.4532232669535</v>
      </c>
      <c r="W32" s="76">
        <v>32682.929172163229</v>
      </c>
    </row>
    <row r="33" spans="1:25" x14ac:dyDescent="0.25">
      <c r="A33" s="97">
        <v>55</v>
      </c>
      <c r="B33" s="86">
        <v>46.024901798248202</v>
      </c>
      <c r="C33" s="87">
        <v>0</v>
      </c>
      <c r="D33" s="87">
        <v>0</v>
      </c>
      <c r="E33" s="87">
        <v>0</v>
      </c>
      <c r="F33" s="87">
        <v>0</v>
      </c>
      <c r="G33" s="87">
        <v>0</v>
      </c>
      <c r="H33" s="87">
        <v>19.210961519976316</v>
      </c>
      <c r="I33" s="87">
        <v>139.70125219442309</v>
      </c>
      <c r="J33" s="87">
        <v>593.55726590967902</v>
      </c>
      <c r="K33" s="89">
        <v>62625.676798089065</v>
      </c>
      <c r="L33" s="89">
        <v>21073.806373705145</v>
      </c>
      <c r="M33" s="87">
        <v>0</v>
      </c>
      <c r="N33" s="87">
        <v>0</v>
      </c>
      <c r="O33" s="87">
        <v>0</v>
      </c>
      <c r="P33" s="87">
        <v>0</v>
      </c>
      <c r="Q33" s="87">
        <v>0</v>
      </c>
      <c r="R33" s="87">
        <v>11.514066556182025</v>
      </c>
      <c r="S33" s="87">
        <v>45.337928862593678</v>
      </c>
      <c r="T33" s="87">
        <v>49.091836594157648</v>
      </c>
      <c r="U33" s="89">
        <v>7669.1163497997004</v>
      </c>
      <c r="V33" s="89">
        <v>2580.6902420258839</v>
      </c>
      <c r="W33" s="89">
        <v>35713.39363943271</v>
      </c>
    </row>
    <row r="34" spans="1:25" x14ac:dyDescent="0.25">
      <c r="A34" s="72">
        <v>61</v>
      </c>
      <c r="B34" s="16">
        <v>49.287196666717499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2.3110257070173899</v>
      </c>
      <c r="I34" s="17">
        <v>31.080797619532262</v>
      </c>
      <c r="J34" s="17">
        <v>777.66791723145695</v>
      </c>
      <c r="K34" s="76">
        <v>68841.939057348849</v>
      </c>
      <c r="L34" s="76">
        <v>20570.394326799982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1.7863839677718694</v>
      </c>
      <c r="S34" s="17">
        <v>16.970545444478908</v>
      </c>
      <c r="T34" s="17">
        <v>85.374047818667364</v>
      </c>
      <c r="U34" s="76">
        <v>7911.6099251265505</v>
      </c>
      <c r="V34" s="76">
        <v>2364.0376512942607</v>
      </c>
      <c r="W34" s="76">
        <v>37790.671834553432</v>
      </c>
    </row>
    <row r="35" spans="1:25" x14ac:dyDescent="0.25">
      <c r="A35" s="97">
        <v>67</v>
      </c>
      <c r="B35" s="86">
        <v>52.264826141357403</v>
      </c>
      <c r="C35" s="87">
        <v>0</v>
      </c>
      <c r="D35" s="87">
        <v>0</v>
      </c>
      <c r="E35" s="87">
        <v>0</v>
      </c>
      <c r="F35" s="87">
        <v>0</v>
      </c>
      <c r="G35" s="87">
        <v>0</v>
      </c>
      <c r="H35" s="87">
        <v>0</v>
      </c>
      <c r="I35" s="87">
        <v>3.6277696189630149</v>
      </c>
      <c r="J35" s="87">
        <v>862.2027415206295</v>
      </c>
      <c r="K35" s="89">
        <v>73782.121975293863</v>
      </c>
      <c r="L35" s="89">
        <v>19576.70665971571</v>
      </c>
      <c r="M35" s="87">
        <v>0</v>
      </c>
      <c r="N35" s="87">
        <v>0</v>
      </c>
      <c r="O35" s="87">
        <v>0</v>
      </c>
      <c r="P35" s="87">
        <v>0</v>
      </c>
      <c r="Q35" s="87">
        <v>0</v>
      </c>
      <c r="R35" s="87">
        <v>0</v>
      </c>
      <c r="S35" s="87">
        <v>2.1039386442733328</v>
      </c>
      <c r="T35" s="87">
        <v>99.579537733923743</v>
      </c>
      <c r="U35" s="89">
        <v>7864.6898794782828</v>
      </c>
      <c r="V35" s="89">
        <v>2086.7484238490288</v>
      </c>
      <c r="W35" s="89">
        <v>39161.021818763416</v>
      </c>
    </row>
    <row r="36" spans="1:25" x14ac:dyDescent="0.25">
      <c r="A36" s="72">
        <v>73</v>
      </c>
      <c r="B36" s="16">
        <v>54.944139572143499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921.23349385333233</v>
      </c>
      <c r="K36" s="76">
        <v>78535.155350996618</v>
      </c>
      <c r="L36" s="76">
        <v>18503.401328574797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99.590245589177144</v>
      </c>
      <c r="U36" s="76">
        <v>7718.2440331612715</v>
      </c>
      <c r="V36" s="76">
        <v>1818.4692735270492</v>
      </c>
      <c r="W36" s="76">
        <v>40174.464911471536</v>
      </c>
    </row>
    <row r="37" spans="1:25" x14ac:dyDescent="0.25">
      <c r="A37" s="97">
        <v>79</v>
      </c>
      <c r="B37" s="91">
        <v>57.723950924516501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973.49583333653993</v>
      </c>
      <c r="K37" s="94">
        <v>82990.519791940271</v>
      </c>
      <c r="L37" s="94">
        <v>17362.606214033029</v>
      </c>
      <c r="M37" s="92">
        <v>0</v>
      </c>
      <c r="N37" s="92">
        <v>0</v>
      </c>
      <c r="O37" s="92">
        <v>0</v>
      </c>
      <c r="P37" s="92">
        <v>0</v>
      </c>
      <c r="Q37" s="92">
        <v>0</v>
      </c>
      <c r="R37" s="92">
        <v>0</v>
      </c>
      <c r="S37" s="92">
        <v>0</v>
      </c>
      <c r="T37" s="92">
        <v>973.49583333653993</v>
      </c>
      <c r="U37" s="94">
        <v>82990.519791940271</v>
      </c>
      <c r="V37" s="94">
        <v>17362.606214033029</v>
      </c>
      <c r="W37" s="94">
        <v>40852.139070456818</v>
      </c>
    </row>
    <row r="38" spans="1:25" s="6" customFormat="1" x14ac:dyDescent="0.25">
      <c r="A38" s="18" t="s">
        <v>13</v>
      </c>
      <c r="B38" s="19" t="s">
        <v>27</v>
      </c>
      <c r="C38" s="19" t="s">
        <v>27</v>
      </c>
      <c r="D38" s="19" t="s">
        <v>27</v>
      </c>
      <c r="E38" s="19" t="s">
        <v>27</v>
      </c>
      <c r="F38" s="19" t="s">
        <v>27</v>
      </c>
      <c r="G38" s="19" t="s">
        <v>27</v>
      </c>
      <c r="H38" s="19" t="s">
        <v>27</v>
      </c>
      <c r="I38" s="19" t="s">
        <v>27</v>
      </c>
      <c r="J38" s="19" t="s">
        <v>27</v>
      </c>
      <c r="K38" s="19" t="s">
        <v>27</v>
      </c>
      <c r="L38" s="19" t="s">
        <v>27</v>
      </c>
      <c r="M38" s="18">
        <v>27.483744144425152</v>
      </c>
      <c r="N38" s="18">
        <v>78.434240403358473</v>
      </c>
      <c r="O38" s="18">
        <v>41.292009911564072</v>
      </c>
      <c r="P38" s="18">
        <v>93.42056417038782</v>
      </c>
      <c r="Q38" s="18">
        <v>143.64106278350317</v>
      </c>
      <c r="R38" s="18">
        <v>149.58104895656479</v>
      </c>
      <c r="S38" s="18">
        <v>153.31270785085431</v>
      </c>
      <c r="T38" s="18">
        <v>1352.8786795118701</v>
      </c>
      <c r="U38" s="19" t="s">
        <v>27</v>
      </c>
      <c r="V38" s="77">
        <v>40852.139070456818</v>
      </c>
      <c r="W38" s="20" t="s">
        <v>27</v>
      </c>
    </row>
    <row r="39" spans="1:25" x14ac:dyDescent="0.25">
      <c r="A39"/>
      <c r="V39" s="2"/>
    </row>
    <row r="40" spans="1:25" x14ac:dyDescent="0.25">
      <c r="H40" s="8"/>
      <c r="I40" s="8"/>
      <c r="J40" s="8"/>
      <c r="W40" s="8" t="s">
        <v>75</v>
      </c>
    </row>
    <row r="41" spans="1:25" x14ac:dyDescent="0.25">
      <c r="V41" s="2"/>
      <c r="W41" s="8" t="s">
        <v>76</v>
      </c>
      <c r="X41" s="2"/>
      <c r="Y41" s="2"/>
    </row>
    <row r="42" spans="1: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V42" s="2"/>
      <c r="W42" s="8"/>
      <c r="X42" s="2"/>
      <c r="Y42" s="8"/>
    </row>
    <row r="43" spans="1:25" x14ac:dyDescent="0.25">
      <c r="V43" s="2"/>
      <c r="W43" s="2"/>
      <c r="X43" s="2"/>
      <c r="Y43" s="2"/>
    </row>
    <row r="44" spans="1:25" x14ac:dyDescent="0.25"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V45" s="2"/>
      <c r="W45" s="2"/>
      <c r="X45" s="2"/>
      <c r="Y45" s="2"/>
    </row>
    <row r="46" spans="1:25" x14ac:dyDescent="0.25">
      <c r="V46" s="2"/>
      <c r="W46" s="2"/>
      <c r="X46" s="2"/>
      <c r="Y46" s="2"/>
    </row>
  </sheetData>
  <mergeCells count="17">
    <mergeCell ref="A23:A24"/>
    <mergeCell ref="B23:B24"/>
    <mergeCell ref="C23:J23"/>
    <mergeCell ref="K23:L23"/>
    <mergeCell ref="M23:T23"/>
    <mergeCell ref="A6:A7"/>
    <mergeCell ref="B6:B7"/>
    <mergeCell ref="C6:F6"/>
    <mergeCell ref="G6:J6"/>
    <mergeCell ref="K6:N6"/>
    <mergeCell ref="D1:T1"/>
    <mergeCell ref="U6:U7"/>
    <mergeCell ref="V6:V7"/>
    <mergeCell ref="W6:W7"/>
    <mergeCell ref="U23:V23"/>
    <mergeCell ref="W23:W24"/>
    <mergeCell ref="O6:T6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A46"/>
  <sheetViews>
    <sheetView workbookViewId="0">
      <selection activeCell="W23" sqref="W23:W24"/>
    </sheetView>
  </sheetViews>
  <sheetFormatPr defaultColWidth="11.42578125" defaultRowHeight="15" x14ac:dyDescent="0.25"/>
  <cols>
    <col min="1" max="21" width="6.7109375" style="2" customWidth="1"/>
    <col min="22" max="23" width="6.7109375" customWidth="1"/>
  </cols>
  <sheetData>
    <row r="1" spans="1:27" ht="30.75" customHeight="1" x14ac:dyDescent="0.4">
      <c r="D1" s="135" t="s">
        <v>71</v>
      </c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</row>
    <row r="2" spans="1:27" x14ac:dyDescent="0.25">
      <c r="A2" s="5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U2" s="8"/>
      <c r="V2" s="8"/>
      <c r="W2" s="8"/>
    </row>
    <row r="3" spans="1:27" x14ac:dyDescent="0.25">
      <c r="A3" s="5" t="s">
        <v>78</v>
      </c>
      <c r="B3" s="5"/>
      <c r="C3" s="5"/>
      <c r="D3" s="7"/>
      <c r="E3" s="7" t="s">
        <v>79</v>
      </c>
      <c r="F3" s="7"/>
      <c r="G3" s="7"/>
      <c r="H3" s="7"/>
      <c r="I3" s="7"/>
      <c r="J3" s="7"/>
      <c r="K3" s="7" t="s">
        <v>84</v>
      </c>
      <c r="L3" s="7"/>
      <c r="M3" s="7"/>
      <c r="N3" s="7"/>
      <c r="R3" s="7" t="s">
        <v>82</v>
      </c>
      <c r="V3" s="2"/>
      <c r="W3" s="2"/>
    </row>
    <row r="4" spans="1:27" x14ac:dyDescent="0.25">
      <c r="A4" s="7"/>
      <c r="B4" s="7"/>
      <c r="C4" s="7"/>
      <c r="D4" s="7"/>
      <c r="E4" s="7" t="s">
        <v>28</v>
      </c>
      <c r="F4" s="7"/>
      <c r="G4" s="7"/>
      <c r="H4" s="7"/>
      <c r="I4" s="7"/>
      <c r="J4" s="7"/>
      <c r="K4" s="7" t="s">
        <v>85</v>
      </c>
      <c r="L4" s="7"/>
      <c r="M4" s="7"/>
      <c r="N4" s="7"/>
      <c r="O4" s="1"/>
      <c r="P4" s="1"/>
      <c r="Q4" s="1"/>
      <c r="R4" s="7" t="s">
        <v>81</v>
      </c>
      <c r="S4" s="1"/>
      <c r="T4" s="1"/>
      <c r="U4" s="1"/>
      <c r="V4" s="1"/>
      <c r="W4" s="7"/>
    </row>
    <row r="5" spans="1:27" x14ac:dyDescent="0.25">
      <c r="A5" s="5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7" x14ac:dyDescent="0.25">
      <c r="A6" s="151" t="s">
        <v>1</v>
      </c>
      <c r="B6" s="151" t="s">
        <v>2</v>
      </c>
      <c r="C6" s="153" t="s">
        <v>104</v>
      </c>
      <c r="D6" s="154"/>
      <c r="E6" s="154"/>
      <c r="F6" s="154"/>
      <c r="G6" s="154" t="s">
        <v>102</v>
      </c>
      <c r="H6" s="154"/>
      <c r="I6" s="154"/>
      <c r="J6" s="154"/>
      <c r="K6" s="154" t="s">
        <v>103</v>
      </c>
      <c r="L6" s="154"/>
      <c r="M6" s="154"/>
      <c r="N6" s="154"/>
      <c r="O6" s="148" t="s">
        <v>3</v>
      </c>
      <c r="P6" s="149"/>
      <c r="Q6" s="149"/>
      <c r="R6" s="149"/>
      <c r="S6" s="149"/>
      <c r="T6" s="150"/>
      <c r="U6" s="141" t="s">
        <v>14</v>
      </c>
      <c r="V6" s="143" t="s">
        <v>63</v>
      </c>
      <c r="W6" s="141" t="s">
        <v>29</v>
      </c>
    </row>
    <row r="7" spans="1:27" x14ac:dyDescent="0.25">
      <c r="A7" s="152"/>
      <c r="B7" s="152"/>
      <c r="C7" s="74" t="s">
        <v>4</v>
      </c>
      <c r="D7" s="74" t="s">
        <v>5</v>
      </c>
      <c r="E7" s="74" t="s">
        <v>6</v>
      </c>
      <c r="F7" s="74" t="s">
        <v>7</v>
      </c>
      <c r="G7" s="74" t="s">
        <v>4</v>
      </c>
      <c r="H7" s="74" t="s">
        <v>5</v>
      </c>
      <c r="I7" s="74" t="s">
        <v>6</v>
      </c>
      <c r="J7" s="74" t="s">
        <v>7</v>
      </c>
      <c r="K7" s="74" t="s">
        <v>4</v>
      </c>
      <c r="L7" s="74" t="s">
        <v>5</v>
      </c>
      <c r="M7" s="74" t="s">
        <v>6</v>
      </c>
      <c r="N7" s="74" t="s">
        <v>7</v>
      </c>
      <c r="O7" s="73" t="s">
        <v>16</v>
      </c>
      <c r="P7" s="74" t="s">
        <v>8</v>
      </c>
      <c r="Q7" s="74" t="s">
        <v>9</v>
      </c>
      <c r="R7" s="74" t="s">
        <v>10</v>
      </c>
      <c r="S7" s="74" t="s">
        <v>11</v>
      </c>
      <c r="T7" s="74" t="s">
        <v>12</v>
      </c>
      <c r="U7" s="142"/>
      <c r="V7" s="144"/>
      <c r="W7" s="145"/>
    </row>
    <row r="8" spans="1:27" s="78" customFormat="1" ht="12" customHeight="1" x14ac:dyDescent="0.2">
      <c r="A8" s="81" t="s">
        <v>60</v>
      </c>
      <c r="B8" s="81" t="s">
        <v>58</v>
      </c>
      <c r="C8" s="81" t="s">
        <v>59</v>
      </c>
      <c r="D8" s="81" t="s">
        <v>54</v>
      </c>
      <c r="E8" s="81" t="s">
        <v>53</v>
      </c>
      <c r="F8" s="81" t="s">
        <v>57</v>
      </c>
      <c r="G8" s="81" t="s">
        <v>59</v>
      </c>
      <c r="H8" s="81" t="s">
        <v>54</v>
      </c>
      <c r="I8" s="81" t="s">
        <v>53</v>
      </c>
      <c r="J8" s="81" t="s">
        <v>57</v>
      </c>
      <c r="K8" s="81" t="s">
        <v>59</v>
      </c>
      <c r="L8" s="81" t="s">
        <v>54</v>
      </c>
      <c r="M8" s="81" t="s">
        <v>53</v>
      </c>
      <c r="N8" s="81" t="s">
        <v>57</v>
      </c>
      <c r="O8" s="81" t="s">
        <v>55</v>
      </c>
      <c r="P8" s="81" t="s">
        <v>52</v>
      </c>
      <c r="Q8" s="81" t="s">
        <v>52</v>
      </c>
      <c r="R8" s="81" t="s">
        <v>56</v>
      </c>
      <c r="S8" s="81" t="s">
        <v>56</v>
      </c>
      <c r="T8" s="81" t="s">
        <v>57</v>
      </c>
      <c r="U8" s="79"/>
      <c r="V8" s="80" t="s">
        <v>62</v>
      </c>
      <c r="W8" s="81" t="s">
        <v>58</v>
      </c>
    </row>
    <row r="9" spans="1:27" x14ac:dyDescent="0.25">
      <c r="A9" s="14">
        <v>15</v>
      </c>
      <c r="B9" s="11">
        <v>13.5246128101348</v>
      </c>
      <c r="C9" s="10">
        <v>2011.7199999999998</v>
      </c>
      <c r="D9" s="10">
        <v>43.058617236011479</v>
      </c>
      <c r="E9" s="11">
        <v>29.680952064607737</v>
      </c>
      <c r="F9" s="10">
        <v>160.97752402373871</v>
      </c>
      <c r="G9" s="10">
        <v>799.68999999999983</v>
      </c>
      <c r="H9" s="10">
        <v>40.077587382123284</v>
      </c>
      <c r="I9" s="11">
        <v>10.221507240892944</v>
      </c>
      <c r="J9" s="10">
        <v>53.278096201485198</v>
      </c>
      <c r="K9" s="10">
        <v>1212.03</v>
      </c>
      <c r="L9" s="10">
        <v>44.917282145017531</v>
      </c>
      <c r="M9" s="11">
        <v>19.459444823714794</v>
      </c>
      <c r="N9" s="10">
        <v>107.69942782225351</v>
      </c>
      <c r="O9" s="11">
        <v>2.5504308280408772</v>
      </c>
      <c r="P9" s="12">
        <v>2.5416803975510387</v>
      </c>
      <c r="Q9" s="12">
        <v>1.9787301376405158</v>
      </c>
      <c r="R9" s="11">
        <v>26.086625605914602</v>
      </c>
      <c r="S9" s="11">
        <v>10.731834934915915</v>
      </c>
      <c r="T9" s="75">
        <v>160.97752402373871</v>
      </c>
      <c r="U9" s="10">
        <v>94.59348878186519</v>
      </c>
      <c r="V9" s="11">
        <v>39.751555882528379</v>
      </c>
      <c r="W9" s="16">
        <v>3.0865832806039788</v>
      </c>
      <c r="Y9" s="9"/>
      <c r="Z9" s="9"/>
      <c r="AA9" s="9"/>
    </row>
    <row r="10" spans="1:27" x14ac:dyDescent="0.25">
      <c r="A10" s="85">
        <v>21</v>
      </c>
      <c r="B10" s="86">
        <v>18.692188428878701</v>
      </c>
      <c r="C10" s="87">
        <v>1202.7600000000002</v>
      </c>
      <c r="D10" s="87">
        <v>60.219867113262794</v>
      </c>
      <c r="E10" s="86">
        <v>34.709527209021026</v>
      </c>
      <c r="F10" s="87">
        <v>264.21918145774112</v>
      </c>
      <c r="G10" s="87">
        <v>454.86000000000024</v>
      </c>
      <c r="H10" s="87">
        <v>52.502229829863431</v>
      </c>
      <c r="I10" s="86">
        <v>9.9775377719018046</v>
      </c>
      <c r="J10" s="87">
        <v>72.818064564435019</v>
      </c>
      <c r="K10" s="87">
        <v>747.9</v>
      </c>
      <c r="L10" s="87">
        <v>64.463323371757582</v>
      </c>
      <c r="M10" s="86">
        <v>24.731989437119221</v>
      </c>
      <c r="N10" s="87">
        <v>191.4011168933061</v>
      </c>
      <c r="O10" s="86">
        <v>2.5944743776481425</v>
      </c>
      <c r="P10" s="88">
        <v>2.1891146339235892</v>
      </c>
      <c r="Q10" s="88">
        <v>2.1395730690435224</v>
      </c>
      <c r="R10" s="86">
        <v>27.333065359905152</v>
      </c>
      <c r="S10" s="86">
        <v>15.118917983772681</v>
      </c>
      <c r="T10" s="89">
        <v>317.49727765922631</v>
      </c>
      <c r="U10" s="87">
        <v>91.095585483588422</v>
      </c>
      <c r="V10" s="86">
        <v>37.818018557318176</v>
      </c>
      <c r="W10" s="86">
        <v>3.9292794558427531</v>
      </c>
    </row>
    <row r="11" spans="1:27" x14ac:dyDescent="0.25">
      <c r="A11" s="15">
        <v>27</v>
      </c>
      <c r="B11" s="16">
        <v>23.599681608200001</v>
      </c>
      <c r="C11" s="17">
        <v>742.95</v>
      </c>
      <c r="D11" s="17">
        <v>80.030169637646438</v>
      </c>
      <c r="E11" s="16">
        <v>37.866677240660756</v>
      </c>
      <c r="F11" s="17">
        <v>355.39950905273702</v>
      </c>
      <c r="G11" s="17">
        <v>235.0800000000001</v>
      </c>
      <c r="H11" s="17">
        <v>68.30286228237658</v>
      </c>
      <c r="I11" s="16">
        <v>8.7273747543172462</v>
      </c>
      <c r="J11" s="17">
        <v>79.616854475925322</v>
      </c>
      <c r="K11" s="17">
        <v>507.86999999999995</v>
      </c>
      <c r="L11" s="17">
        <v>84.91183532602308</v>
      </c>
      <c r="M11" s="16">
        <v>29.13930248634351</v>
      </c>
      <c r="N11" s="17">
        <v>275.78265457681169</v>
      </c>
      <c r="O11" s="16">
        <v>2.641546171256941</v>
      </c>
      <c r="P11" s="13">
        <v>1.9422166644451206</v>
      </c>
      <c r="Q11" s="13">
        <v>2.1505823056835371</v>
      </c>
      <c r="R11" s="16">
        <v>27.918297845145599</v>
      </c>
      <c r="S11" s="16">
        <v>17.833172956246564</v>
      </c>
      <c r="T11" s="76">
        <v>481.49566981865723</v>
      </c>
      <c r="U11" s="17">
        <v>87.314784897432645</v>
      </c>
      <c r="V11" s="16">
        <v>31.641429436705039</v>
      </c>
      <c r="W11" s="16">
        <v>4.7682432680368354</v>
      </c>
    </row>
    <row r="12" spans="1:27" x14ac:dyDescent="0.25">
      <c r="A12" s="85">
        <v>33</v>
      </c>
      <c r="B12" s="86">
        <v>28.188261972427298</v>
      </c>
      <c r="C12" s="87">
        <v>504.90000000000003</v>
      </c>
      <c r="D12" s="87">
        <v>100.76111235356473</v>
      </c>
      <c r="E12" s="86">
        <v>40.792602473014234</v>
      </c>
      <c r="F12" s="87">
        <v>443.29244164768528</v>
      </c>
      <c r="G12" s="87">
        <v>142.02000000000004</v>
      </c>
      <c r="H12" s="87">
        <v>86.369881138848541</v>
      </c>
      <c r="I12" s="86">
        <v>8.4307126686530438</v>
      </c>
      <c r="J12" s="87">
        <v>90.183606745612451</v>
      </c>
      <c r="K12" s="87">
        <v>362.88</v>
      </c>
      <c r="L12" s="87">
        <v>105.86206295968863</v>
      </c>
      <c r="M12" s="86">
        <v>32.361889804361191</v>
      </c>
      <c r="N12" s="87">
        <v>353.10883490207283</v>
      </c>
      <c r="O12" s="86">
        <v>2.6942851668309964</v>
      </c>
      <c r="P12" s="88">
        <v>1.7410586714127458</v>
      </c>
      <c r="Q12" s="88">
        <v>2.112697643640189</v>
      </c>
      <c r="R12" s="86">
        <v>27.798399487839003</v>
      </c>
      <c r="S12" s="86">
        <v>19.666832026955479</v>
      </c>
      <c r="T12" s="89">
        <v>649.00545688953082</v>
      </c>
      <c r="U12" s="87">
        <v>83.652286998944589</v>
      </c>
      <c r="V12" s="86">
        <v>28.128342245989309</v>
      </c>
      <c r="W12" s="86">
        <v>5.6409619165728655</v>
      </c>
    </row>
    <row r="13" spans="1:27" x14ac:dyDescent="0.25">
      <c r="A13" s="15">
        <v>39</v>
      </c>
      <c r="B13" s="16">
        <v>32.411903285980202</v>
      </c>
      <c r="C13" s="17">
        <v>361.26</v>
      </c>
      <c r="D13" s="17">
        <v>122.02777396067461</v>
      </c>
      <c r="E13" s="16">
        <v>42.808241832837666</v>
      </c>
      <c r="F13" s="17">
        <v>519.89923182910684</v>
      </c>
      <c r="G13" s="17">
        <v>93.239999999999952</v>
      </c>
      <c r="H13" s="17">
        <v>105.75555768747738</v>
      </c>
      <c r="I13" s="16">
        <v>8.2984847528724401</v>
      </c>
      <c r="J13" s="17">
        <v>99.685196195937294</v>
      </c>
      <c r="K13" s="17">
        <v>268.02000000000004</v>
      </c>
      <c r="L13" s="17">
        <v>127.20151435722022</v>
      </c>
      <c r="M13" s="16">
        <v>34.509757079965226</v>
      </c>
      <c r="N13" s="17">
        <v>420.21403563316954</v>
      </c>
      <c r="O13" s="16">
        <v>2.7554661789286521</v>
      </c>
      <c r="P13" s="13">
        <v>1.5700833981801463</v>
      </c>
      <c r="Q13" s="13">
        <v>2.055522417143659</v>
      </c>
      <c r="R13" s="16">
        <v>27.194663890291348</v>
      </c>
      <c r="S13" s="16">
        <v>20.917842405552946</v>
      </c>
      <c r="T13" s="76">
        <v>815.79585381656489</v>
      </c>
      <c r="U13" s="17">
        <v>80.050145445708267</v>
      </c>
      <c r="V13" s="16">
        <v>25.809666168410548</v>
      </c>
      <c r="W13" s="16">
        <v>6.5637356637030537</v>
      </c>
      <c r="Y13" s="9"/>
      <c r="AA13" s="9"/>
    </row>
    <row r="14" spans="1:27" x14ac:dyDescent="0.25">
      <c r="A14" s="85">
        <v>45</v>
      </c>
      <c r="B14" s="86">
        <v>36.3061314201355</v>
      </c>
      <c r="C14" s="87">
        <v>267.20999999999998</v>
      </c>
      <c r="D14" s="87">
        <v>143.73431143079213</v>
      </c>
      <c r="E14" s="86">
        <v>43.930257469046104</v>
      </c>
      <c r="F14" s="87">
        <v>583.38201897491763</v>
      </c>
      <c r="G14" s="87">
        <v>59.399999999999977</v>
      </c>
      <c r="H14" s="87">
        <v>126.10640389126009</v>
      </c>
      <c r="I14" s="86">
        <v>7.5171092757865239</v>
      </c>
      <c r="J14" s="87">
        <v>99.381982395112175</v>
      </c>
      <c r="K14" s="87">
        <v>207.81</v>
      </c>
      <c r="L14" s="87">
        <v>148.38869830844126</v>
      </c>
      <c r="M14" s="86">
        <v>36.41314819325958</v>
      </c>
      <c r="N14" s="87">
        <v>484.00003657980545</v>
      </c>
      <c r="O14" s="86">
        <v>2.8115744860754339</v>
      </c>
      <c r="P14" s="88">
        <v>1.4322213579744758</v>
      </c>
      <c r="Q14" s="88">
        <v>1.9907972146151907</v>
      </c>
      <c r="R14" s="86">
        <v>26.511594434708542</v>
      </c>
      <c r="S14" s="86">
        <v>21.754751936851399</v>
      </c>
      <c r="T14" s="89">
        <v>978.96383715831291</v>
      </c>
      <c r="U14" s="87">
        <v>76.865069274130065</v>
      </c>
      <c r="V14" s="86">
        <v>22.229706972044454</v>
      </c>
      <c r="W14" s="86">
        <v>7.454207244152034</v>
      </c>
      <c r="Y14" s="9"/>
    </row>
    <row r="15" spans="1:27" x14ac:dyDescent="0.25">
      <c r="A15" s="15">
        <v>51</v>
      </c>
      <c r="B15" s="16">
        <v>39.866704418182302</v>
      </c>
      <c r="C15" s="17">
        <v>207.09</v>
      </c>
      <c r="D15" s="17">
        <v>165.25814522489387</v>
      </c>
      <c r="E15" s="16">
        <v>45.006476341106435</v>
      </c>
      <c r="F15" s="17">
        <v>643.0696031880567</v>
      </c>
      <c r="G15" s="17">
        <v>39.419999999999987</v>
      </c>
      <c r="H15" s="17">
        <v>148.43277764370825</v>
      </c>
      <c r="I15" s="16">
        <v>6.9114056708689233</v>
      </c>
      <c r="J15" s="17">
        <v>98.912898456947914</v>
      </c>
      <c r="K15" s="17">
        <v>167.67000000000002</v>
      </c>
      <c r="L15" s="17">
        <v>168.97079274820467</v>
      </c>
      <c r="M15" s="16">
        <v>38.095070670237511</v>
      </c>
      <c r="N15" s="17">
        <v>544.15670473110879</v>
      </c>
      <c r="O15" s="16">
        <v>2.8174726457349331</v>
      </c>
      <c r="P15" s="13">
        <v>1.3174724061748944</v>
      </c>
      <c r="Q15" s="13">
        <v>1.9250824079515771</v>
      </c>
      <c r="R15" s="16">
        <v>25.759022060499433</v>
      </c>
      <c r="S15" s="16">
        <v>22.314380466011066</v>
      </c>
      <c r="T15" s="76">
        <v>1138.0334037665643</v>
      </c>
      <c r="U15" s="17">
        <v>74.122245440153449</v>
      </c>
      <c r="V15" s="16">
        <v>19.035202086049537</v>
      </c>
      <c r="W15" s="16">
        <v>8.2986414702791329</v>
      </c>
      <c r="Y15" s="9"/>
    </row>
    <row r="16" spans="1:27" x14ac:dyDescent="0.25">
      <c r="A16" s="85">
        <v>57</v>
      </c>
      <c r="B16" s="86">
        <v>43.1136819190979</v>
      </c>
      <c r="C16" s="87">
        <v>167.31</v>
      </c>
      <c r="D16" s="87">
        <v>185.87562862261427</v>
      </c>
      <c r="E16" s="86">
        <v>45.999905107286878</v>
      </c>
      <c r="F16" s="87">
        <v>698.71083709410539</v>
      </c>
      <c r="G16" s="87">
        <v>28.799999999999983</v>
      </c>
      <c r="H16" s="87">
        <v>165.81084420713938</v>
      </c>
      <c r="I16" s="86">
        <v>6.3009855648196194</v>
      </c>
      <c r="J16" s="87">
        <v>95.564605838966145</v>
      </c>
      <c r="K16" s="87">
        <v>138.51000000000002</v>
      </c>
      <c r="L16" s="87">
        <v>189.78142833093733</v>
      </c>
      <c r="M16" s="86">
        <v>39.698919542467259</v>
      </c>
      <c r="N16" s="87">
        <v>603.14623125513924</v>
      </c>
      <c r="O16" s="86">
        <v>2.8153774498058795</v>
      </c>
      <c r="P16" s="88">
        <v>1.2251756150176949</v>
      </c>
      <c r="Q16" s="88">
        <v>1.8611234603961369</v>
      </c>
      <c r="R16" s="86">
        <v>25.105073750850618</v>
      </c>
      <c r="S16" s="86">
        <v>22.67697431806247</v>
      </c>
      <c r="T16" s="89">
        <v>1292.5875361295607</v>
      </c>
      <c r="U16" s="87">
        <v>71.36927336749595</v>
      </c>
      <c r="V16" s="86">
        <v>17.213555675094124</v>
      </c>
      <c r="W16" s="86">
        <v>9.1304907223902738</v>
      </c>
      <c r="Y16" s="9"/>
    </row>
    <row r="17" spans="1:25" x14ac:dyDescent="0.25">
      <c r="A17" s="15">
        <v>63</v>
      </c>
      <c r="B17" s="16">
        <v>46.138830677032402</v>
      </c>
      <c r="C17" s="17">
        <v>138.42000000000002</v>
      </c>
      <c r="D17" s="17">
        <v>206.67369302977261</v>
      </c>
      <c r="E17" s="16">
        <v>47.049973232573429</v>
      </c>
      <c r="F17" s="17">
        <v>753.77667376024294</v>
      </c>
      <c r="G17" s="17">
        <v>21.330000000000013</v>
      </c>
      <c r="H17" s="17">
        <v>186.77680461038204</v>
      </c>
      <c r="I17" s="16">
        <v>5.9214337381061029</v>
      </c>
      <c r="J17" s="17">
        <v>95.039793751178763</v>
      </c>
      <c r="K17" s="17">
        <v>117.09</v>
      </c>
      <c r="L17" s="17">
        <v>210.09546246674336</v>
      </c>
      <c r="M17" s="16">
        <v>41.128539494467326</v>
      </c>
      <c r="N17" s="17">
        <v>658.73688000906418</v>
      </c>
      <c r="O17" s="16">
        <v>2.8120030015415836</v>
      </c>
      <c r="P17" s="13">
        <v>1.1451693284542042</v>
      </c>
      <c r="Q17" s="13">
        <v>1.8005569989315233</v>
      </c>
      <c r="R17" s="16">
        <v>24.434780141359663</v>
      </c>
      <c r="S17" s="16">
        <v>22.908221883089915</v>
      </c>
      <c r="T17" s="76">
        <v>1443.2179786346646</v>
      </c>
      <c r="U17" s="17">
        <v>68.992166607659541</v>
      </c>
      <c r="V17" s="16">
        <v>15.409622886866067</v>
      </c>
      <c r="W17" s="16">
        <v>9.930583812919771</v>
      </c>
      <c r="Y17" s="9"/>
    </row>
    <row r="18" spans="1:25" x14ac:dyDescent="0.25">
      <c r="A18" s="85">
        <v>69</v>
      </c>
      <c r="B18" s="86">
        <v>48.921211277007998</v>
      </c>
      <c r="C18" s="87">
        <v>117.09</v>
      </c>
      <c r="D18" s="87">
        <v>226.96748047599286</v>
      </c>
      <c r="E18" s="86">
        <v>47.99955546519255</v>
      </c>
      <c r="F18" s="87">
        <v>805.34556085722215</v>
      </c>
      <c r="G18" s="87">
        <v>15.75</v>
      </c>
      <c r="H18" s="87">
        <v>211.05929044004111</v>
      </c>
      <c r="I18" s="86">
        <v>5.583154442977353</v>
      </c>
      <c r="J18" s="87">
        <v>94.415642954954137</v>
      </c>
      <c r="K18" s="87">
        <v>101.34</v>
      </c>
      <c r="L18" s="87">
        <v>229.34083545076214</v>
      </c>
      <c r="M18" s="86">
        <v>42.416401022215197</v>
      </c>
      <c r="N18" s="87">
        <v>710.92991790226802</v>
      </c>
      <c r="O18" s="86">
        <v>2.8023101235134695</v>
      </c>
      <c r="P18" s="88">
        <v>1.0745674268809207</v>
      </c>
      <c r="Q18" s="88">
        <v>1.7435667667161041</v>
      </c>
      <c r="R18" s="86">
        <v>23.751809565816149</v>
      </c>
      <c r="S18" s="86">
        <v>23.040966079461192</v>
      </c>
      <c r="T18" s="89">
        <v>1589.8266594828224</v>
      </c>
      <c r="U18" s="87">
        <v>67.01402201247268</v>
      </c>
      <c r="V18" s="86">
        <v>13.45119139123751</v>
      </c>
      <c r="W18" s="86">
        <v>10.674418708301603</v>
      </c>
      <c r="Y18" s="9"/>
    </row>
    <row r="19" spans="1:25" x14ac:dyDescent="0.25">
      <c r="A19" s="15">
        <v>75</v>
      </c>
      <c r="B19" s="16">
        <v>51.468625152587798</v>
      </c>
      <c r="C19" s="17">
        <v>101.34</v>
      </c>
      <c r="D19" s="17">
        <v>246.15469619184296</v>
      </c>
      <c r="E19" s="16">
        <v>48.863805583500721</v>
      </c>
      <c r="F19" s="17">
        <v>853.44077529716492</v>
      </c>
      <c r="G19" s="17">
        <v>12.780000000000001</v>
      </c>
      <c r="H19" s="17">
        <v>226.44126307886748</v>
      </c>
      <c r="I19" s="16">
        <v>5.2147336028395443</v>
      </c>
      <c r="J19" s="17">
        <v>91.701451402980297</v>
      </c>
      <c r="K19" s="17">
        <v>88.56</v>
      </c>
      <c r="L19" s="17">
        <v>248.87062324434285</v>
      </c>
      <c r="M19" s="16">
        <v>43.649071980661176</v>
      </c>
      <c r="N19" s="17">
        <v>761.73932389418462</v>
      </c>
      <c r="O19" s="16">
        <v>2.7990144098697698</v>
      </c>
      <c r="P19" s="13">
        <v>1.014958023470399</v>
      </c>
      <c r="Q19" s="13">
        <v>1.6900468195292895</v>
      </c>
      <c r="R19" s="16">
        <v>23.154032490660899</v>
      </c>
      <c r="S19" s="16">
        <v>23.09783355836959</v>
      </c>
      <c r="T19" s="76">
        <v>1732.3375168777193</v>
      </c>
      <c r="U19" s="17">
        <v>64.970888312111043</v>
      </c>
      <c r="V19" s="16">
        <v>12.61101243339254</v>
      </c>
      <c r="W19" s="16">
        <v>11.418679418145823</v>
      </c>
      <c r="Y19" s="9"/>
    </row>
    <row r="20" spans="1:25" x14ac:dyDescent="0.25">
      <c r="A20" s="90">
        <v>81</v>
      </c>
      <c r="B20" s="91">
        <v>53.849316596984799</v>
      </c>
      <c r="C20" s="92">
        <v>88.56</v>
      </c>
      <c r="D20" s="92">
        <v>265.66470970356147</v>
      </c>
      <c r="E20" s="91">
        <v>49.73882012148357</v>
      </c>
      <c r="F20" s="92">
        <v>900.66351883815003</v>
      </c>
      <c r="G20" s="92">
        <v>88.56</v>
      </c>
      <c r="H20" s="92">
        <v>265.66470970356147</v>
      </c>
      <c r="I20" s="91">
        <v>49.73882012148357</v>
      </c>
      <c r="J20" s="92">
        <v>900.66351883815003</v>
      </c>
      <c r="K20" s="92" t="s">
        <v>27</v>
      </c>
      <c r="L20" s="92" t="s">
        <v>27</v>
      </c>
      <c r="M20" s="91" t="s">
        <v>27</v>
      </c>
      <c r="N20" s="92" t="s">
        <v>27</v>
      </c>
      <c r="O20" s="91" t="s">
        <v>27</v>
      </c>
      <c r="P20" s="93" t="s">
        <v>27</v>
      </c>
      <c r="Q20" s="93">
        <v>1.6400402420434457</v>
      </c>
      <c r="R20" s="91" t="s">
        <v>27</v>
      </c>
      <c r="S20" s="91">
        <v>23.101996442243024</v>
      </c>
      <c r="T20" s="94">
        <v>1871.2617118216849</v>
      </c>
      <c r="U20" s="92">
        <v>63.678995080184883</v>
      </c>
      <c r="V20" s="95" t="s">
        <v>27</v>
      </c>
      <c r="W20" s="96" t="s">
        <v>27</v>
      </c>
    </row>
    <row r="22" spans="1:25" x14ac:dyDescent="0.25">
      <c r="A22" s="5" t="s">
        <v>30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5" ht="15" customHeight="1" x14ac:dyDescent="0.25">
      <c r="A23" s="141" t="s">
        <v>1</v>
      </c>
      <c r="B23" s="141" t="s">
        <v>2</v>
      </c>
      <c r="C23" s="146" t="s">
        <v>31</v>
      </c>
      <c r="D23" s="155"/>
      <c r="E23" s="155"/>
      <c r="F23" s="155"/>
      <c r="G23" s="155"/>
      <c r="H23" s="155"/>
      <c r="I23" s="155"/>
      <c r="J23" s="147"/>
      <c r="K23" s="146" t="s">
        <v>109</v>
      </c>
      <c r="L23" s="147"/>
      <c r="M23" s="146" t="s">
        <v>32</v>
      </c>
      <c r="N23" s="155"/>
      <c r="O23" s="155"/>
      <c r="P23" s="155"/>
      <c r="Q23" s="155"/>
      <c r="R23" s="155"/>
      <c r="S23" s="155"/>
      <c r="T23" s="147"/>
      <c r="U23" s="146" t="s">
        <v>110</v>
      </c>
      <c r="V23" s="147"/>
      <c r="W23" s="143" t="s">
        <v>107</v>
      </c>
    </row>
    <row r="24" spans="1:25" x14ac:dyDescent="0.25">
      <c r="A24" s="145"/>
      <c r="B24" s="145"/>
      <c r="C24" s="82" t="s">
        <v>19</v>
      </c>
      <c r="D24" s="82" t="s">
        <v>20</v>
      </c>
      <c r="E24" s="82" t="s">
        <v>21</v>
      </c>
      <c r="F24" s="82" t="s">
        <v>22</v>
      </c>
      <c r="G24" s="82" t="s">
        <v>23</v>
      </c>
      <c r="H24" s="82" t="s">
        <v>24</v>
      </c>
      <c r="I24" s="82" t="s">
        <v>25</v>
      </c>
      <c r="J24" s="82" t="s">
        <v>26</v>
      </c>
      <c r="K24" s="98" t="s">
        <v>109</v>
      </c>
      <c r="L24" s="98" t="s">
        <v>106</v>
      </c>
      <c r="M24" s="82" t="s">
        <v>19</v>
      </c>
      <c r="N24" s="82" t="s">
        <v>20</v>
      </c>
      <c r="O24" s="82" t="s">
        <v>21</v>
      </c>
      <c r="P24" s="82" t="s">
        <v>22</v>
      </c>
      <c r="Q24" s="82" t="s">
        <v>23</v>
      </c>
      <c r="R24" s="82" t="s">
        <v>24</v>
      </c>
      <c r="S24" s="82" t="s">
        <v>25</v>
      </c>
      <c r="T24" s="82" t="s">
        <v>26</v>
      </c>
      <c r="U24" s="98" t="s">
        <v>110</v>
      </c>
      <c r="V24" s="98" t="s">
        <v>106</v>
      </c>
      <c r="W24" s="144"/>
    </row>
    <row r="25" spans="1:25" s="78" customFormat="1" ht="12" x14ac:dyDescent="0.2">
      <c r="A25" s="81" t="s">
        <v>60</v>
      </c>
      <c r="B25" s="81" t="s">
        <v>58</v>
      </c>
      <c r="C25" s="81" t="s">
        <v>57</v>
      </c>
      <c r="D25" s="81" t="s">
        <v>57</v>
      </c>
      <c r="E25" s="81" t="s">
        <v>57</v>
      </c>
      <c r="F25" s="81" t="s">
        <v>57</v>
      </c>
      <c r="G25" s="81" t="s">
        <v>57</v>
      </c>
      <c r="H25" s="81" t="s">
        <v>57</v>
      </c>
      <c r="I25" s="81" t="s">
        <v>57</v>
      </c>
      <c r="J25" s="81" t="s">
        <v>57</v>
      </c>
      <c r="K25" s="81" t="s">
        <v>64</v>
      </c>
      <c r="L25" s="81" t="s">
        <v>64</v>
      </c>
      <c r="M25" s="81" t="s">
        <v>57</v>
      </c>
      <c r="N25" s="81" t="s">
        <v>57</v>
      </c>
      <c r="O25" s="81" t="s">
        <v>57</v>
      </c>
      <c r="P25" s="81" t="s">
        <v>57</v>
      </c>
      <c r="Q25" s="81" t="s">
        <v>57</v>
      </c>
      <c r="R25" s="81" t="s">
        <v>57</v>
      </c>
      <c r="S25" s="81" t="s">
        <v>57</v>
      </c>
      <c r="T25" s="81" t="s">
        <v>57</v>
      </c>
      <c r="U25" s="81" t="s">
        <v>64</v>
      </c>
      <c r="V25" s="81" t="s">
        <v>64</v>
      </c>
      <c r="W25" s="81" t="s">
        <v>64</v>
      </c>
    </row>
    <row r="26" spans="1:25" x14ac:dyDescent="0.25">
      <c r="A26" s="72">
        <v>15</v>
      </c>
      <c r="B26" s="16">
        <v>13.5246128101348</v>
      </c>
      <c r="C26" s="17">
        <v>41.079784119569815</v>
      </c>
      <c r="D26" s="17">
        <v>92.857737604777938</v>
      </c>
      <c r="E26" s="17">
        <v>25.588875833264019</v>
      </c>
      <c r="F26" s="17">
        <v>1.1421037262764047</v>
      </c>
      <c r="G26" s="17">
        <v>0</v>
      </c>
      <c r="H26" s="17">
        <v>0</v>
      </c>
      <c r="I26" s="17">
        <v>0</v>
      </c>
      <c r="J26" s="17">
        <v>0</v>
      </c>
      <c r="K26" s="76">
        <v>2143.714564616731</v>
      </c>
      <c r="L26" s="76">
        <v>1592.8114984011565</v>
      </c>
      <c r="M26" s="17">
        <v>19.405444653636025</v>
      </c>
      <c r="N26" s="17">
        <v>26.433274612200858</v>
      </c>
      <c r="O26" s="17">
        <v>6.8686274932324594</v>
      </c>
      <c r="P26" s="17">
        <v>0.26172670256446889</v>
      </c>
      <c r="Q26" s="17">
        <v>0</v>
      </c>
      <c r="R26" s="17">
        <v>0</v>
      </c>
      <c r="S26" s="17">
        <v>0</v>
      </c>
      <c r="T26" s="17">
        <v>0</v>
      </c>
      <c r="U26" s="76">
        <v>578.58538855848747</v>
      </c>
      <c r="V26" s="76">
        <v>429.89746625508712</v>
      </c>
      <c r="W26" s="76">
        <v>1592.8114984011565</v>
      </c>
    </row>
    <row r="27" spans="1:25" x14ac:dyDescent="0.25">
      <c r="A27" s="97">
        <v>21</v>
      </c>
      <c r="B27" s="86">
        <v>18.692188428878701</v>
      </c>
      <c r="C27" s="87">
        <v>10.408368216581209</v>
      </c>
      <c r="D27" s="87">
        <v>79.87538291780001</v>
      </c>
      <c r="E27" s="87">
        <v>60.854220146219092</v>
      </c>
      <c r="F27" s="87">
        <v>95.189915814503593</v>
      </c>
      <c r="G27" s="87">
        <v>17.484122411581492</v>
      </c>
      <c r="H27" s="87">
        <v>0</v>
      </c>
      <c r="I27" s="87">
        <v>0</v>
      </c>
      <c r="J27" s="87">
        <v>0</v>
      </c>
      <c r="K27" s="89">
        <v>7457.8724516784969</v>
      </c>
      <c r="L27" s="89">
        <v>4920.5238881920959</v>
      </c>
      <c r="M27" s="87">
        <v>7.1827640986594146</v>
      </c>
      <c r="N27" s="87">
        <v>33.465715447739242</v>
      </c>
      <c r="O27" s="87">
        <v>12.279619808554909</v>
      </c>
      <c r="P27" s="87">
        <v>16.298208287172272</v>
      </c>
      <c r="Q27" s="87">
        <v>3.1845849712530212</v>
      </c>
      <c r="R27" s="87">
        <v>0</v>
      </c>
      <c r="S27" s="87">
        <v>0</v>
      </c>
      <c r="T27" s="87">
        <v>0</v>
      </c>
      <c r="U27" s="89">
        <v>1476.2444484621317</v>
      </c>
      <c r="V27" s="89">
        <v>973.99038674012786</v>
      </c>
      <c r="W27" s="89">
        <v>5350.4213544471831</v>
      </c>
    </row>
    <row r="28" spans="1:25" x14ac:dyDescent="0.25">
      <c r="A28" s="72">
        <v>27</v>
      </c>
      <c r="B28" s="16">
        <v>23.599681608200001</v>
      </c>
      <c r="C28" s="17">
        <v>1.6355215325212731</v>
      </c>
      <c r="D28" s="17">
        <v>26.454024070110293</v>
      </c>
      <c r="E28" s="17">
        <v>36.732363863148386</v>
      </c>
      <c r="F28" s="17">
        <v>130.1487265721787</v>
      </c>
      <c r="G28" s="17">
        <v>158.9056284853109</v>
      </c>
      <c r="H28" s="17">
        <v>1.0658916436015706</v>
      </c>
      <c r="I28" s="17">
        <v>0</v>
      </c>
      <c r="J28" s="17">
        <v>0</v>
      </c>
      <c r="K28" s="76">
        <v>15009.117399704872</v>
      </c>
      <c r="L28" s="76">
        <v>8793.272197715547</v>
      </c>
      <c r="M28" s="17">
        <v>1.2723844637470356</v>
      </c>
      <c r="N28" s="17">
        <v>15.536587897912344</v>
      </c>
      <c r="O28" s="17">
        <v>15.020438338379636</v>
      </c>
      <c r="P28" s="17">
        <v>26.383957330052407</v>
      </c>
      <c r="Q28" s="17">
        <v>20.839439593085579</v>
      </c>
      <c r="R28" s="17">
        <v>0.10669396688194453</v>
      </c>
      <c r="S28" s="17">
        <v>0</v>
      </c>
      <c r="T28" s="17">
        <v>0</v>
      </c>
      <c r="U28" s="76">
        <v>2516.4342582686804</v>
      </c>
      <c r="V28" s="76">
        <v>1474.2833180216203</v>
      </c>
      <c r="W28" s="76">
        <v>10197.160050710761</v>
      </c>
    </row>
    <row r="29" spans="1:25" x14ac:dyDescent="0.25">
      <c r="A29" s="97">
        <v>33</v>
      </c>
      <c r="B29" s="86">
        <v>28.188261972427298</v>
      </c>
      <c r="C29" s="87">
        <v>5.849046671827525E-2</v>
      </c>
      <c r="D29" s="87">
        <v>6.6818254667751793</v>
      </c>
      <c r="E29" s="87">
        <v>12.329488643858753</v>
      </c>
      <c r="F29" s="87">
        <v>70.002976875935573</v>
      </c>
      <c r="G29" s="87">
        <v>222.56269640334961</v>
      </c>
      <c r="H29" s="87">
        <v>131.00856113979088</v>
      </c>
      <c r="I29" s="87">
        <v>0</v>
      </c>
      <c r="J29" s="87">
        <v>0</v>
      </c>
      <c r="K29" s="89">
        <v>23556.765356097512</v>
      </c>
      <c r="L29" s="89">
        <v>12254.906099117183</v>
      </c>
      <c r="M29" s="87">
        <v>5.849046671827525E-2</v>
      </c>
      <c r="N29" s="87">
        <v>5.0754461733995742</v>
      </c>
      <c r="O29" s="87">
        <v>7.3228977586061239</v>
      </c>
      <c r="P29" s="87">
        <v>27.164953782548988</v>
      </c>
      <c r="Q29" s="87">
        <v>33.035021341737014</v>
      </c>
      <c r="R29" s="87">
        <v>16.878394571346892</v>
      </c>
      <c r="S29" s="87">
        <v>0</v>
      </c>
      <c r="T29" s="87">
        <v>0</v>
      </c>
      <c r="U29" s="89">
        <v>3826.5159608419481</v>
      </c>
      <c r="V29" s="89">
        <v>1990.6635345736524</v>
      </c>
      <c r="W29" s="89">
        <v>15133.077270134017</v>
      </c>
    </row>
    <row r="30" spans="1:25" x14ac:dyDescent="0.25">
      <c r="A30" s="72">
        <v>39</v>
      </c>
      <c r="B30" s="16">
        <v>32.411903285980202</v>
      </c>
      <c r="C30" s="17">
        <v>0</v>
      </c>
      <c r="D30" s="17">
        <v>0.91827727047524488</v>
      </c>
      <c r="E30" s="17">
        <v>2.4684325405405096</v>
      </c>
      <c r="F30" s="17">
        <v>23.20207237862634</v>
      </c>
      <c r="G30" s="17">
        <v>159.72676954265637</v>
      </c>
      <c r="H30" s="17">
        <v>245.38959479907066</v>
      </c>
      <c r="I30" s="17">
        <v>87.577569886393604</v>
      </c>
      <c r="J30" s="17">
        <v>0</v>
      </c>
      <c r="K30" s="76">
        <v>32315.210297561698</v>
      </c>
      <c r="L30" s="76">
        <v>14927.953988630168</v>
      </c>
      <c r="M30" s="17">
        <v>0</v>
      </c>
      <c r="N30" s="17">
        <v>0.75944807152736182</v>
      </c>
      <c r="O30" s="17">
        <v>1.8445053406777185</v>
      </c>
      <c r="P30" s="17">
        <v>13.136787812828997</v>
      </c>
      <c r="Q30" s="17">
        <v>50.381472071066675</v>
      </c>
      <c r="R30" s="17">
        <v>24.244954393407969</v>
      </c>
      <c r="S30" s="17">
        <v>8.7015130950842785</v>
      </c>
      <c r="T30" s="17">
        <v>0</v>
      </c>
      <c r="U30" s="76">
        <v>5000.1673936407124</v>
      </c>
      <c r="V30" s="76">
        <v>2309.8184446396567</v>
      </c>
      <c r="W30" s="76">
        <v>19796.788694220657</v>
      </c>
    </row>
    <row r="31" spans="1:25" x14ac:dyDescent="0.25">
      <c r="A31" s="97">
        <v>45</v>
      </c>
      <c r="B31" s="86">
        <v>36.3061314201355</v>
      </c>
      <c r="C31" s="87">
        <v>0</v>
      </c>
      <c r="D31" s="87">
        <v>0</v>
      </c>
      <c r="E31" s="87">
        <v>0.31719231704383299</v>
      </c>
      <c r="F31" s="87">
        <v>5.3987571619476142</v>
      </c>
      <c r="G31" s="87">
        <v>57.050892992459133</v>
      </c>
      <c r="H31" s="87">
        <v>233.60935020138987</v>
      </c>
      <c r="I31" s="87">
        <v>246.37954705325285</v>
      </c>
      <c r="J31" s="87">
        <v>39.835984640779515</v>
      </c>
      <c r="K31" s="89">
        <v>40996.918328651918</v>
      </c>
      <c r="L31" s="89">
        <v>16816.804811173803</v>
      </c>
      <c r="M31" s="87">
        <v>0</v>
      </c>
      <c r="N31" s="87">
        <v>0</v>
      </c>
      <c r="O31" s="87">
        <v>0.31719231704383299</v>
      </c>
      <c r="P31" s="87">
        <v>4.1752892898969227</v>
      </c>
      <c r="Q31" s="87">
        <v>27.007233119704321</v>
      </c>
      <c r="R31" s="87">
        <v>38.257246978362879</v>
      </c>
      <c r="S31" s="87">
        <v>25.109335102167943</v>
      </c>
      <c r="T31" s="87">
        <v>3.7253909798925089</v>
      </c>
      <c r="U31" s="89">
        <v>5788.3598254857852</v>
      </c>
      <c r="V31" s="89">
        <v>2374.3666921912113</v>
      </c>
      <c r="W31" s="89">
        <v>23995.457961403947</v>
      </c>
    </row>
    <row r="32" spans="1:25" x14ac:dyDescent="0.25">
      <c r="A32" s="72">
        <v>51</v>
      </c>
      <c r="B32" s="16">
        <v>39.866704418182302</v>
      </c>
      <c r="C32" s="17">
        <v>0</v>
      </c>
      <c r="D32" s="17">
        <v>0</v>
      </c>
      <c r="E32" s="17">
        <v>0</v>
      </c>
      <c r="F32" s="17">
        <v>0</v>
      </c>
      <c r="G32" s="17">
        <v>15.115973620397096</v>
      </c>
      <c r="H32" s="17">
        <v>120.97719561174604</v>
      </c>
      <c r="I32" s="17">
        <v>292.76344948338811</v>
      </c>
      <c r="J32" s="17">
        <v>213.20064651964583</v>
      </c>
      <c r="K32" s="76">
        <v>49492.44525806162</v>
      </c>
      <c r="L32" s="76">
        <v>18027.277811776701</v>
      </c>
      <c r="M32" s="17">
        <v>0</v>
      </c>
      <c r="N32" s="17">
        <v>0</v>
      </c>
      <c r="O32" s="17">
        <v>0</v>
      </c>
      <c r="P32" s="17">
        <v>0</v>
      </c>
      <c r="Q32" s="17">
        <v>9.6466706605823322</v>
      </c>
      <c r="R32" s="17">
        <v>37.973600215527483</v>
      </c>
      <c r="S32" s="17">
        <v>28.775531989205078</v>
      </c>
      <c r="T32" s="17">
        <v>21.504757638753791</v>
      </c>
      <c r="U32" s="76">
        <v>6417.5388255570906</v>
      </c>
      <c r="V32" s="76">
        <v>2337.5437336537025</v>
      </c>
      <c r="W32" s="76">
        <v>27580.297654198057</v>
      </c>
    </row>
    <row r="33" spans="1:25" x14ac:dyDescent="0.25">
      <c r="A33" s="97">
        <v>57</v>
      </c>
      <c r="B33" s="86">
        <v>43.1136819190979</v>
      </c>
      <c r="C33" s="87">
        <v>0</v>
      </c>
      <c r="D33" s="87">
        <v>0</v>
      </c>
      <c r="E33" s="87">
        <v>0</v>
      </c>
      <c r="F33" s="87">
        <v>0</v>
      </c>
      <c r="G33" s="87">
        <v>1.049630998525114</v>
      </c>
      <c r="H33" s="87">
        <v>32.832980865724238</v>
      </c>
      <c r="I33" s="87">
        <v>231.12268767501726</v>
      </c>
      <c r="J33" s="87">
        <v>433.01425069024708</v>
      </c>
      <c r="K33" s="89">
        <v>56932.731779130758</v>
      </c>
      <c r="L33" s="89">
        <v>18414.173570119845</v>
      </c>
      <c r="M33" s="87">
        <v>0</v>
      </c>
      <c r="N33" s="87">
        <v>0</v>
      </c>
      <c r="O33" s="87">
        <v>0</v>
      </c>
      <c r="P33" s="87">
        <v>0</v>
      </c>
      <c r="Q33" s="87">
        <v>0.89924035225126264</v>
      </c>
      <c r="R33" s="87">
        <v>18.868318841768676</v>
      </c>
      <c r="S33" s="87">
        <v>48.099630105296747</v>
      </c>
      <c r="T33" s="87">
        <v>27.00612967505905</v>
      </c>
      <c r="U33" s="89">
        <v>6634.762204425906</v>
      </c>
      <c r="V33" s="89">
        <v>2145.9301005042148</v>
      </c>
      <c r="W33" s="89">
        <v>30304.737146194904</v>
      </c>
    </row>
    <row r="34" spans="1:25" x14ac:dyDescent="0.25">
      <c r="A34" s="72">
        <v>63</v>
      </c>
      <c r="B34" s="16">
        <v>46.138830677032402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5.27485252853874</v>
      </c>
      <c r="I34" s="17">
        <v>77.836768705997656</v>
      </c>
      <c r="J34" s="17">
        <v>669.83857107966287</v>
      </c>
      <c r="K34" s="76">
        <v>63445.309641786633</v>
      </c>
      <c r="L34" s="76">
        <v>18221.691948064134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4.1501299805909939</v>
      </c>
      <c r="S34" s="17">
        <v>35.320543514092734</v>
      </c>
      <c r="T34" s="17">
        <v>54.742638810453521</v>
      </c>
      <c r="U34" s="76">
        <v>6964.0003526321025</v>
      </c>
      <c r="V34" s="76">
        <v>2000.082746357903</v>
      </c>
      <c r="W34" s="76">
        <v>32258.185624643407</v>
      </c>
    </row>
    <row r="35" spans="1:25" x14ac:dyDescent="0.25">
      <c r="A35" s="97">
        <v>69</v>
      </c>
      <c r="B35" s="86">
        <v>48.921211277007998</v>
      </c>
      <c r="C35" s="87">
        <v>0</v>
      </c>
      <c r="D35" s="87">
        <v>0</v>
      </c>
      <c r="E35" s="87">
        <v>0</v>
      </c>
      <c r="F35" s="87">
        <v>0</v>
      </c>
      <c r="G35" s="87">
        <v>0</v>
      </c>
      <c r="H35" s="87">
        <v>0.74430221749606817</v>
      </c>
      <c r="I35" s="87">
        <v>10.486566321154733</v>
      </c>
      <c r="J35" s="87">
        <v>792.95335909827133</v>
      </c>
      <c r="K35" s="89">
        <v>68455.86341621117</v>
      </c>
      <c r="L35" s="89">
        <v>17458.173326654796</v>
      </c>
      <c r="M35" s="87">
        <v>0</v>
      </c>
      <c r="N35" s="87">
        <v>0</v>
      </c>
      <c r="O35" s="87">
        <v>0</v>
      </c>
      <c r="P35" s="87">
        <v>0</v>
      </c>
      <c r="Q35" s="87">
        <v>0</v>
      </c>
      <c r="R35" s="87">
        <v>0.74430221749606817</v>
      </c>
      <c r="S35" s="87">
        <v>5.659825882532906</v>
      </c>
      <c r="T35" s="87">
        <v>86.85018163462523</v>
      </c>
      <c r="U35" s="89">
        <v>7171.7350215105262</v>
      </c>
      <c r="V35" s="89">
        <v>1828.9944324728363</v>
      </c>
      <c r="W35" s="89">
        <v>33494.749749591974</v>
      </c>
    </row>
    <row r="36" spans="1:25" x14ac:dyDescent="0.25">
      <c r="A36" s="72">
        <v>75</v>
      </c>
      <c r="B36" s="16">
        <v>51.468625152587798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852.358791928698</v>
      </c>
      <c r="K36" s="76">
        <v>72663.587011921685</v>
      </c>
      <c r="L36" s="76">
        <v>16455.229763496922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90.619468034514298</v>
      </c>
      <c r="U36" s="76">
        <v>7023.0087726749089</v>
      </c>
      <c r="V36" s="76">
        <v>1590.4145079771488</v>
      </c>
      <c r="W36" s="76">
        <v>34320.800618906935</v>
      </c>
    </row>
    <row r="37" spans="1:25" x14ac:dyDescent="0.25">
      <c r="A37" s="97">
        <v>81</v>
      </c>
      <c r="B37" s="91">
        <v>53.849316596984799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900.66351883815003</v>
      </c>
      <c r="K37" s="94">
        <v>76781.564980952404</v>
      </c>
      <c r="L37" s="94">
        <v>15439.84894260154</v>
      </c>
      <c r="M37" s="92">
        <v>0</v>
      </c>
      <c r="N37" s="92">
        <v>0</v>
      </c>
      <c r="O37" s="92">
        <v>0</v>
      </c>
      <c r="P37" s="92">
        <v>0</v>
      </c>
      <c r="Q37" s="92">
        <v>0</v>
      </c>
      <c r="R37" s="92">
        <v>0</v>
      </c>
      <c r="S37" s="92">
        <v>0</v>
      </c>
      <c r="T37" s="92">
        <v>900.66351883815003</v>
      </c>
      <c r="U37" s="94">
        <v>76781.564980952404</v>
      </c>
      <c r="V37" s="94">
        <v>15439.84894260154</v>
      </c>
      <c r="W37" s="94">
        <v>34895.834305988697</v>
      </c>
    </row>
    <row r="38" spans="1:25" s="6" customFormat="1" x14ac:dyDescent="0.25">
      <c r="A38" s="18" t="s">
        <v>13</v>
      </c>
      <c r="B38" s="19" t="s">
        <v>27</v>
      </c>
      <c r="C38" s="19" t="s">
        <v>27</v>
      </c>
      <c r="D38" s="19" t="s">
        <v>27</v>
      </c>
      <c r="E38" s="19" t="s">
        <v>27</v>
      </c>
      <c r="F38" s="19" t="s">
        <v>27</v>
      </c>
      <c r="G38" s="19" t="s">
        <v>27</v>
      </c>
      <c r="H38" s="19" t="s">
        <v>27</v>
      </c>
      <c r="I38" s="19" t="s">
        <v>27</v>
      </c>
      <c r="J38" s="19" t="s">
        <v>27</v>
      </c>
      <c r="K38" s="19" t="s">
        <v>27</v>
      </c>
      <c r="L38" s="19" t="s">
        <v>27</v>
      </c>
      <c r="M38" s="18">
        <v>27.91908368276075</v>
      </c>
      <c r="N38" s="18">
        <v>81.270472202779374</v>
      </c>
      <c r="O38" s="18">
        <v>43.653281056494684</v>
      </c>
      <c r="P38" s="18">
        <v>87.420923205064057</v>
      </c>
      <c r="Q38" s="18">
        <v>144.99366210968023</v>
      </c>
      <c r="R38" s="18">
        <v>141.2236411653829</v>
      </c>
      <c r="S38" s="18">
        <v>151.66637968837969</v>
      </c>
      <c r="T38" s="18">
        <v>1185.1120856114485</v>
      </c>
      <c r="U38" s="19" t="s">
        <v>27</v>
      </c>
      <c r="V38" s="77">
        <v>34895.834305988697</v>
      </c>
      <c r="W38" s="20" t="s">
        <v>27</v>
      </c>
    </row>
    <row r="39" spans="1:25" x14ac:dyDescent="0.25">
      <c r="A39"/>
      <c r="V39" s="2"/>
    </row>
    <row r="40" spans="1:25" x14ac:dyDescent="0.25">
      <c r="H40" s="8"/>
      <c r="I40" s="8"/>
      <c r="J40" s="8"/>
      <c r="W40" s="8" t="s">
        <v>75</v>
      </c>
    </row>
    <row r="41" spans="1:25" x14ac:dyDescent="0.25">
      <c r="V41" s="2"/>
      <c r="W41" s="8" t="s">
        <v>76</v>
      </c>
      <c r="X41" s="2"/>
      <c r="Y41" s="2"/>
    </row>
    <row r="42" spans="1: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V42" s="2"/>
      <c r="W42" s="8"/>
      <c r="X42" s="2"/>
      <c r="Y42" s="8"/>
    </row>
    <row r="43" spans="1:25" x14ac:dyDescent="0.25">
      <c r="V43" s="2"/>
      <c r="W43" s="2"/>
      <c r="X43" s="2"/>
      <c r="Y43" s="2"/>
    </row>
    <row r="44" spans="1:25" x14ac:dyDescent="0.25"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V45" s="2"/>
      <c r="W45" s="2"/>
      <c r="X45" s="2"/>
      <c r="Y45" s="2"/>
    </row>
    <row r="46" spans="1:25" x14ac:dyDescent="0.25">
      <c r="V46" s="2"/>
      <c r="W46" s="2"/>
      <c r="X46" s="2"/>
      <c r="Y46" s="2"/>
    </row>
  </sheetData>
  <mergeCells count="17">
    <mergeCell ref="D1:T1"/>
    <mergeCell ref="K6:N6"/>
    <mergeCell ref="W23:W24"/>
    <mergeCell ref="V6:V7"/>
    <mergeCell ref="W6:W7"/>
    <mergeCell ref="U6:U7"/>
    <mergeCell ref="K23:L23"/>
    <mergeCell ref="M23:T23"/>
    <mergeCell ref="O6:T6"/>
    <mergeCell ref="U23:V23"/>
    <mergeCell ref="A23:A24"/>
    <mergeCell ref="A6:A7"/>
    <mergeCell ref="B6:B7"/>
    <mergeCell ref="C6:F6"/>
    <mergeCell ref="G6:J6"/>
    <mergeCell ref="B23:B24"/>
    <mergeCell ref="C23:J23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A46"/>
  <sheetViews>
    <sheetView workbookViewId="0">
      <selection activeCell="W23" sqref="W23:W24"/>
    </sheetView>
  </sheetViews>
  <sheetFormatPr defaultColWidth="11.42578125" defaultRowHeight="15" x14ac:dyDescent="0.25"/>
  <cols>
    <col min="1" max="21" width="6.7109375" style="2" customWidth="1"/>
    <col min="22" max="23" width="6.7109375" customWidth="1"/>
  </cols>
  <sheetData>
    <row r="1" spans="1:27" ht="30.75" customHeight="1" x14ac:dyDescent="0.4">
      <c r="D1" s="135" t="s">
        <v>72</v>
      </c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</row>
    <row r="2" spans="1:27" x14ac:dyDescent="0.25">
      <c r="A2" s="5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U2" s="8"/>
      <c r="V2" s="8"/>
      <c r="W2" s="8"/>
    </row>
    <row r="3" spans="1:27" x14ac:dyDescent="0.25">
      <c r="A3" s="5" t="s">
        <v>78</v>
      </c>
      <c r="B3" s="5"/>
      <c r="C3" s="5"/>
      <c r="D3" s="7"/>
      <c r="E3" s="7" t="s">
        <v>79</v>
      </c>
      <c r="F3" s="7"/>
      <c r="G3" s="7"/>
      <c r="H3" s="7"/>
      <c r="I3" s="7"/>
      <c r="J3" s="7"/>
      <c r="K3" s="7" t="s">
        <v>84</v>
      </c>
      <c r="L3" s="7"/>
      <c r="M3" s="7"/>
      <c r="N3" s="7"/>
      <c r="R3" s="7" t="s">
        <v>82</v>
      </c>
      <c r="V3" s="2"/>
      <c r="W3" s="2"/>
    </row>
    <row r="4" spans="1:27" x14ac:dyDescent="0.25">
      <c r="A4" s="7"/>
      <c r="B4" s="7"/>
      <c r="C4" s="7"/>
      <c r="D4" s="7"/>
      <c r="E4" s="7" t="s">
        <v>15</v>
      </c>
      <c r="F4" s="7"/>
      <c r="G4" s="7"/>
      <c r="H4" s="7"/>
      <c r="I4" s="7"/>
      <c r="J4" s="7"/>
      <c r="K4" s="7" t="s">
        <v>85</v>
      </c>
      <c r="L4" s="7"/>
      <c r="M4" s="7"/>
      <c r="N4" s="7"/>
      <c r="O4" s="1"/>
      <c r="P4" s="1"/>
      <c r="Q4" s="1"/>
      <c r="R4" s="7" t="s">
        <v>81</v>
      </c>
      <c r="S4" s="1"/>
      <c r="T4" s="1"/>
      <c r="U4" s="1"/>
      <c r="V4" s="1"/>
      <c r="W4" s="7"/>
    </row>
    <row r="5" spans="1:27" x14ac:dyDescent="0.25">
      <c r="A5" s="5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7" x14ac:dyDescent="0.25">
      <c r="A6" s="151" t="s">
        <v>1</v>
      </c>
      <c r="B6" s="151" t="s">
        <v>2</v>
      </c>
      <c r="C6" s="153" t="s">
        <v>104</v>
      </c>
      <c r="D6" s="154"/>
      <c r="E6" s="154"/>
      <c r="F6" s="154"/>
      <c r="G6" s="154" t="s">
        <v>102</v>
      </c>
      <c r="H6" s="154"/>
      <c r="I6" s="154"/>
      <c r="J6" s="154"/>
      <c r="K6" s="154" t="s">
        <v>103</v>
      </c>
      <c r="L6" s="154"/>
      <c r="M6" s="154"/>
      <c r="N6" s="154"/>
      <c r="O6" s="148" t="s">
        <v>3</v>
      </c>
      <c r="P6" s="149"/>
      <c r="Q6" s="149"/>
      <c r="R6" s="149"/>
      <c r="S6" s="149"/>
      <c r="T6" s="150"/>
      <c r="U6" s="141" t="s">
        <v>14</v>
      </c>
      <c r="V6" s="143" t="s">
        <v>63</v>
      </c>
      <c r="W6" s="141" t="s">
        <v>29</v>
      </c>
    </row>
    <row r="7" spans="1:27" x14ac:dyDescent="0.25">
      <c r="A7" s="152"/>
      <c r="B7" s="152"/>
      <c r="C7" s="74" t="s">
        <v>4</v>
      </c>
      <c r="D7" s="74" t="s">
        <v>5</v>
      </c>
      <c r="E7" s="74" t="s">
        <v>6</v>
      </c>
      <c r="F7" s="74" t="s">
        <v>7</v>
      </c>
      <c r="G7" s="74" t="s">
        <v>4</v>
      </c>
      <c r="H7" s="74" t="s">
        <v>5</v>
      </c>
      <c r="I7" s="74" t="s">
        <v>6</v>
      </c>
      <c r="J7" s="74" t="s">
        <v>7</v>
      </c>
      <c r="K7" s="74" t="s">
        <v>4</v>
      </c>
      <c r="L7" s="74" t="s">
        <v>5</v>
      </c>
      <c r="M7" s="74" t="s">
        <v>6</v>
      </c>
      <c r="N7" s="74" t="s">
        <v>7</v>
      </c>
      <c r="O7" s="73" t="s">
        <v>16</v>
      </c>
      <c r="P7" s="74" t="s">
        <v>8</v>
      </c>
      <c r="Q7" s="74" t="s">
        <v>9</v>
      </c>
      <c r="R7" s="74" t="s">
        <v>10</v>
      </c>
      <c r="S7" s="74" t="s">
        <v>11</v>
      </c>
      <c r="T7" s="74" t="s">
        <v>12</v>
      </c>
      <c r="U7" s="142"/>
      <c r="V7" s="144"/>
      <c r="W7" s="145"/>
    </row>
    <row r="8" spans="1:27" s="78" customFormat="1" ht="12" customHeight="1" x14ac:dyDescent="0.2">
      <c r="A8" s="81" t="s">
        <v>60</v>
      </c>
      <c r="B8" s="81" t="s">
        <v>58</v>
      </c>
      <c r="C8" s="81" t="s">
        <v>59</v>
      </c>
      <c r="D8" s="81" t="s">
        <v>54</v>
      </c>
      <c r="E8" s="81" t="s">
        <v>53</v>
      </c>
      <c r="F8" s="81" t="s">
        <v>57</v>
      </c>
      <c r="G8" s="81" t="s">
        <v>59</v>
      </c>
      <c r="H8" s="81" t="s">
        <v>54</v>
      </c>
      <c r="I8" s="81" t="s">
        <v>53</v>
      </c>
      <c r="J8" s="81" t="s">
        <v>57</v>
      </c>
      <c r="K8" s="81" t="s">
        <v>59</v>
      </c>
      <c r="L8" s="81" t="s">
        <v>54</v>
      </c>
      <c r="M8" s="81" t="s">
        <v>53</v>
      </c>
      <c r="N8" s="81" t="s">
        <v>57</v>
      </c>
      <c r="O8" s="81" t="s">
        <v>55</v>
      </c>
      <c r="P8" s="81" t="s">
        <v>52</v>
      </c>
      <c r="Q8" s="81" t="s">
        <v>52</v>
      </c>
      <c r="R8" s="81" t="s">
        <v>56</v>
      </c>
      <c r="S8" s="81" t="s">
        <v>56</v>
      </c>
      <c r="T8" s="81" t="s">
        <v>57</v>
      </c>
      <c r="U8" s="79"/>
      <c r="V8" s="80" t="s">
        <v>62</v>
      </c>
      <c r="W8" s="81" t="s">
        <v>58</v>
      </c>
    </row>
    <row r="9" spans="1:27" x14ac:dyDescent="0.25">
      <c r="A9" s="14">
        <v>17</v>
      </c>
      <c r="B9" s="11">
        <v>13.4955344161987</v>
      </c>
      <c r="C9" s="10">
        <v>2010.8649999999998</v>
      </c>
      <c r="D9" s="10">
        <v>43.067151582507343</v>
      </c>
      <c r="E9" s="11">
        <v>29.680099251255704</v>
      </c>
      <c r="F9" s="10">
        <v>160.72423564652735</v>
      </c>
      <c r="G9" s="10">
        <v>799.28499999999963</v>
      </c>
      <c r="H9" s="10">
        <v>40.226007452000104</v>
      </c>
      <c r="I9" s="11">
        <v>10.292139361199684</v>
      </c>
      <c r="J9" s="10">
        <v>53.679156913676749</v>
      </c>
      <c r="K9" s="10">
        <v>1211.5800000000002</v>
      </c>
      <c r="L9" s="10">
        <v>44.843029039757752</v>
      </c>
      <c r="M9" s="11">
        <v>19.38795989005602</v>
      </c>
      <c r="N9" s="10">
        <v>107.0450787328506</v>
      </c>
      <c r="O9" s="11">
        <v>2.3122413140230358</v>
      </c>
      <c r="P9" s="12">
        <v>2.2774123280737353</v>
      </c>
      <c r="Q9" s="12">
        <v>1.7458881912503355</v>
      </c>
      <c r="R9" s="11">
        <v>22.921542863107049</v>
      </c>
      <c r="S9" s="11">
        <v>9.454366802736903</v>
      </c>
      <c r="T9" s="75">
        <v>160.72423564652735</v>
      </c>
      <c r="U9" s="10">
        <v>94.546404839442332</v>
      </c>
      <c r="V9" s="11">
        <v>39.748317266449995</v>
      </c>
      <c r="W9" s="16">
        <v>3.0871564303462788</v>
      </c>
      <c r="Y9" s="9"/>
      <c r="Z9" s="9"/>
      <c r="AA9" s="9"/>
    </row>
    <row r="10" spans="1:27" x14ac:dyDescent="0.25">
      <c r="A10" s="85">
        <v>23</v>
      </c>
      <c r="B10" s="86">
        <v>18.071350629806499</v>
      </c>
      <c r="C10" s="87">
        <v>1204.74</v>
      </c>
      <c r="D10" s="87">
        <v>58.716476923895968</v>
      </c>
      <c r="E10" s="86">
        <v>33.052433858498432</v>
      </c>
      <c r="F10" s="87">
        <v>244.57433591149291</v>
      </c>
      <c r="G10" s="87">
        <v>415.08000000000004</v>
      </c>
      <c r="H10" s="87">
        <v>51.038059938286018</v>
      </c>
      <c r="I10" s="86">
        <v>8.6041952939783712</v>
      </c>
      <c r="J10" s="87">
        <v>60.81545264018942</v>
      </c>
      <c r="K10" s="87">
        <v>789.66</v>
      </c>
      <c r="L10" s="87">
        <v>62.374725822015222</v>
      </c>
      <c r="M10" s="86">
        <v>24.448238564520061</v>
      </c>
      <c r="N10" s="87">
        <v>183.75888327130349</v>
      </c>
      <c r="O10" s="86">
        <v>2.3322500219215385</v>
      </c>
      <c r="P10" s="88">
        <v>2.0006501802148051</v>
      </c>
      <c r="Q10" s="88">
        <v>1.8845466617260052</v>
      </c>
      <c r="R10" s="86">
        <v>24.133592538054</v>
      </c>
      <c r="S10" s="86">
        <v>12.967543166311724</v>
      </c>
      <c r="T10" s="89">
        <v>298.25349282516964</v>
      </c>
      <c r="U10" s="87">
        <v>91.018952998759886</v>
      </c>
      <c r="V10" s="86">
        <v>34.453907067085019</v>
      </c>
      <c r="W10" s="86">
        <v>3.8239712144693421</v>
      </c>
    </row>
    <row r="11" spans="1:27" x14ac:dyDescent="0.25">
      <c r="A11" s="15">
        <v>29</v>
      </c>
      <c r="B11" s="16">
        <v>22.425703968048001</v>
      </c>
      <c r="C11" s="17">
        <v>785.43000000000006</v>
      </c>
      <c r="D11" s="17">
        <v>76.368225953544453</v>
      </c>
      <c r="E11" s="16">
        <v>36.452139645808892</v>
      </c>
      <c r="F11" s="17">
        <v>328.56043849962748</v>
      </c>
      <c r="G11" s="17">
        <v>230.39999999999998</v>
      </c>
      <c r="H11" s="17">
        <v>65.461223056488521</v>
      </c>
      <c r="I11" s="16">
        <v>7.8567121368621002</v>
      </c>
      <c r="J11" s="17">
        <v>68.710555727027042</v>
      </c>
      <c r="K11" s="17">
        <v>555.03000000000009</v>
      </c>
      <c r="L11" s="17">
        <v>80.462773797572837</v>
      </c>
      <c r="M11" s="16">
        <v>28.595427508946791</v>
      </c>
      <c r="N11" s="17">
        <v>259.84988277260044</v>
      </c>
      <c r="O11" s="16">
        <v>2.3664977796070255</v>
      </c>
      <c r="P11" s="13">
        <v>1.7908816289312253</v>
      </c>
      <c r="Q11" s="13">
        <v>1.9085680793443776</v>
      </c>
      <c r="R11" s="16">
        <v>24.66069984673349</v>
      </c>
      <c r="S11" s="16">
        <v>15.277760277706678</v>
      </c>
      <c r="T11" s="76">
        <v>443.05504805349364</v>
      </c>
      <c r="U11" s="17">
        <v>87.559033218072173</v>
      </c>
      <c r="V11" s="16">
        <v>29.334250028646721</v>
      </c>
      <c r="W11" s="16">
        <v>4.5611720587680669</v>
      </c>
    </row>
    <row r="12" spans="1:27" x14ac:dyDescent="0.25">
      <c r="A12" s="85">
        <v>35</v>
      </c>
      <c r="B12" s="86">
        <v>26.507745502471899</v>
      </c>
      <c r="C12" s="87">
        <v>551.70000000000005</v>
      </c>
      <c r="D12" s="87">
        <v>94.66176047521499</v>
      </c>
      <c r="E12" s="86">
        <v>39.340717282534143</v>
      </c>
      <c r="F12" s="87">
        <v>407.81408185300137</v>
      </c>
      <c r="G12" s="87">
        <v>147.24000000000007</v>
      </c>
      <c r="H12" s="87">
        <v>81.130939920435338</v>
      </c>
      <c r="I12" s="86">
        <v>7.7123895866194516</v>
      </c>
      <c r="J12" s="87">
        <v>78.387758075438967</v>
      </c>
      <c r="K12" s="87">
        <v>404.46</v>
      </c>
      <c r="L12" s="87">
        <v>99.130034688604894</v>
      </c>
      <c r="M12" s="86">
        <v>31.628327695914692</v>
      </c>
      <c r="N12" s="87">
        <v>329.4263237775624</v>
      </c>
      <c r="O12" s="86">
        <v>2.4127162485697156</v>
      </c>
      <c r="P12" s="88">
        <v>1.6181209799439304</v>
      </c>
      <c r="Q12" s="88">
        <v>1.8883932592735513</v>
      </c>
      <c r="R12" s="86">
        <v>24.625882448668346</v>
      </c>
      <c r="S12" s="86">
        <v>16.886264203825561</v>
      </c>
      <c r="T12" s="89">
        <v>591.01924713389462</v>
      </c>
      <c r="U12" s="87">
        <v>84.007373542628571</v>
      </c>
      <c r="V12" s="86">
        <v>26.688417618270812</v>
      </c>
      <c r="W12" s="86">
        <v>5.3431442045934663</v>
      </c>
    </row>
    <row r="13" spans="1:27" x14ac:dyDescent="0.25">
      <c r="A13" s="15">
        <v>41</v>
      </c>
      <c r="B13" s="16">
        <v>30.299626352310099</v>
      </c>
      <c r="C13" s="17">
        <v>402.48</v>
      </c>
      <c r="D13" s="17">
        <v>113.60633218002319</v>
      </c>
      <c r="E13" s="16">
        <v>41.337053575578274</v>
      </c>
      <c r="F13" s="17">
        <v>477.18161846957247</v>
      </c>
      <c r="G13" s="17">
        <v>99.18</v>
      </c>
      <c r="H13" s="17">
        <v>98.941043202641225</v>
      </c>
      <c r="I13" s="16">
        <v>7.7262224883662753</v>
      </c>
      <c r="J13" s="17">
        <v>88.316998711412396</v>
      </c>
      <c r="K13" s="17">
        <v>303.3</v>
      </c>
      <c r="L13" s="17">
        <v>118.00715834078881</v>
      </c>
      <c r="M13" s="16">
        <v>33.610831087211999</v>
      </c>
      <c r="N13" s="17">
        <v>388.86461975816007</v>
      </c>
      <c r="O13" s="16">
        <v>2.4713426235870721</v>
      </c>
      <c r="P13" s="13">
        <v>1.4709483934553695</v>
      </c>
      <c r="Q13" s="13">
        <v>1.8488412183960456</v>
      </c>
      <c r="R13" s="16">
        <v>24.175623431579556</v>
      </c>
      <c r="S13" s="16">
        <v>18.018891264046456</v>
      </c>
      <c r="T13" s="76">
        <v>738.77454182590463</v>
      </c>
      <c r="U13" s="17">
        <v>80.663821494658691</v>
      </c>
      <c r="V13" s="16">
        <v>24.642218246869408</v>
      </c>
      <c r="W13" s="16">
        <v>6.1701891679208538</v>
      </c>
      <c r="Y13" s="9"/>
      <c r="AA13" s="9"/>
    </row>
    <row r="14" spans="1:27" x14ac:dyDescent="0.25">
      <c r="A14" s="85">
        <v>47</v>
      </c>
      <c r="B14" s="86">
        <v>33.786042949676499</v>
      </c>
      <c r="C14" s="87">
        <v>302.22000000000003</v>
      </c>
      <c r="D14" s="87">
        <v>132.83521408231124</v>
      </c>
      <c r="E14" s="86">
        <v>42.436521447944216</v>
      </c>
      <c r="F14" s="87">
        <v>533.91836034763742</v>
      </c>
      <c r="G14" s="87">
        <v>65.160000000000053</v>
      </c>
      <c r="H14" s="87">
        <v>116.33857430434216</v>
      </c>
      <c r="I14" s="86">
        <v>7.0180860083618697</v>
      </c>
      <c r="J14" s="87">
        <v>87.729217380809132</v>
      </c>
      <c r="K14" s="87">
        <v>237.05999999999997</v>
      </c>
      <c r="L14" s="87">
        <v>137.02205557969472</v>
      </c>
      <c r="M14" s="86">
        <v>35.418435439582346</v>
      </c>
      <c r="N14" s="87">
        <v>446.18914296682829</v>
      </c>
      <c r="O14" s="86">
        <v>2.5086038621435072</v>
      </c>
      <c r="P14" s="88">
        <v>1.3515506155948209</v>
      </c>
      <c r="Q14" s="88">
        <v>1.8005995811695765</v>
      </c>
      <c r="R14" s="86">
        <v>23.67842783927955</v>
      </c>
      <c r="S14" s="86">
        <v>18.804857072667701</v>
      </c>
      <c r="T14" s="89">
        <v>883.82828241538198</v>
      </c>
      <c r="U14" s="87">
        <v>77.463430157664391</v>
      </c>
      <c r="V14" s="86">
        <v>21.560452650387152</v>
      </c>
      <c r="W14" s="86">
        <v>6.9791983965302862</v>
      </c>
      <c r="Y14" s="9"/>
    </row>
    <row r="15" spans="1:27" x14ac:dyDescent="0.25">
      <c r="A15" s="15">
        <v>53</v>
      </c>
      <c r="B15" s="16">
        <v>37.015271827697703</v>
      </c>
      <c r="C15" s="17">
        <v>236.52</v>
      </c>
      <c r="D15" s="17">
        <v>152.07367875255576</v>
      </c>
      <c r="E15" s="16">
        <v>43.527739133151272</v>
      </c>
      <c r="F15" s="17">
        <v>588.25971000250559</v>
      </c>
      <c r="G15" s="17">
        <v>45.180000000000007</v>
      </c>
      <c r="H15" s="17">
        <v>134.13766719444746</v>
      </c>
      <c r="I15" s="16">
        <v>6.4690105730651126</v>
      </c>
      <c r="J15" s="17">
        <v>86.917293328223707</v>
      </c>
      <c r="K15" s="17">
        <v>191.34</v>
      </c>
      <c r="L15" s="17">
        <v>156.00815642815414</v>
      </c>
      <c r="M15" s="16">
        <v>37.058728560086159</v>
      </c>
      <c r="N15" s="17">
        <v>501.34241667428188</v>
      </c>
      <c r="O15" s="16">
        <v>2.5387438572007994</v>
      </c>
      <c r="P15" s="13">
        <v>1.2475056040104302</v>
      </c>
      <c r="Q15" s="13">
        <v>1.7497638492177172</v>
      </c>
      <c r="R15" s="16">
        <v>23.096137426116162</v>
      </c>
      <c r="S15" s="16">
        <v>19.356582065114328</v>
      </c>
      <c r="T15" s="76">
        <v>1025.8988494510593</v>
      </c>
      <c r="U15" s="17">
        <v>74.538991234139431</v>
      </c>
      <c r="V15" s="16">
        <v>19.101978691019792</v>
      </c>
      <c r="W15" s="16">
        <v>7.7684039308647383</v>
      </c>
      <c r="Y15" s="9"/>
    </row>
    <row r="16" spans="1:27" x14ac:dyDescent="0.25">
      <c r="A16" s="85">
        <v>59</v>
      </c>
      <c r="B16" s="86">
        <v>40.023278141021699</v>
      </c>
      <c r="C16" s="87">
        <v>190.89</v>
      </c>
      <c r="D16" s="87">
        <v>171.24061957135893</v>
      </c>
      <c r="E16" s="86">
        <v>44.54376218414874</v>
      </c>
      <c r="F16" s="87">
        <v>639.91924123097886</v>
      </c>
      <c r="G16" s="87">
        <v>31.769999999999982</v>
      </c>
      <c r="H16" s="87">
        <v>154.22724673821477</v>
      </c>
      <c r="I16" s="86">
        <v>6.0135311102994891</v>
      </c>
      <c r="J16" s="87">
        <v>86.439849627729586</v>
      </c>
      <c r="K16" s="87">
        <v>159.12</v>
      </c>
      <c r="L16" s="87">
        <v>174.43890576884669</v>
      </c>
      <c r="M16" s="86">
        <v>38.530231073849251</v>
      </c>
      <c r="N16" s="87">
        <v>553.47939160324927</v>
      </c>
      <c r="O16" s="86">
        <v>2.5384383973303009</v>
      </c>
      <c r="P16" s="88">
        <v>1.161752343828135</v>
      </c>
      <c r="Q16" s="88">
        <v>1.6986867395356204</v>
      </c>
      <c r="R16" s="86">
        <v>22.5284121569685</v>
      </c>
      <c r="S16" s="86">
        <v>19.736875830639939</v>
      </c>
      <c r="T16" s="89">
        <v>1164.4756740077564</v>
      </c>
      <c r="U16" s="87">
        <v>72.080729941651725</v>
      </c>
      <c r="V16" s="86">
        <v>16.643092880716633</v>
      </c>
      <c r="W16" s="86">
        <v>8.5186798940893418</v>
      </c>
      <c r="Y16" s="9"/>
    </row>
    <row r="17" spans="1:25" x14ac:dyDescent="0.25">
      <c r="A17" s="15">
        <v>65</v>
      </c>
      <c r="B17" s="16">
        <v>42.786904228210403</v>
      </c>
      <c r="C17" s="17">
        <v>158.94</v>
      </c>
      <c r="D17" s="17">
        <v>189.6695361528285</v>
      </c>
      <c r="E17" s="16">
        <v>45.500745136818061</v>
      </c>
      <c r="F17" s="17">
        <v>688.64986454506027</v>
      </c>
      <c r="G17" s="17">
        <v>24.03</v>
      </c>
      <c r="H17" s="17">
        <v>170.93158860058654</v>
      </c>
      <c r="I17" s="16">
        <v>5.5871272727995489</v>
      </c>
      <c r="J17" s="17">
        <v>84.625651515648656</v>
      </c>
      <c r="K17" s="17">
        <v>134.91</v>
      </c>
      <c r="L17" s="17">
        <v>192.81615063187428</v>
      </c>
      <c r="M17" s="16">
        <v>39.913617864018512</v>
      </c>
      <c r="N17" s="17">
        <v>604.02421302941161</v>
      </c>
      <c r="O17" s="16">
        <v>2.5357002278024274</v>
      </c>
      <c r="P17" s="13">
        <v>1.0912148980931253</v>
      </c>
      <c r="Q17" s="13">
        <v>1.6491235645472369</v>
      </c>
      <c r="R17" s="16">
        <v>22.030508532686991</v>
      </c>
      <c r="S17" s="16">
        <v>19.99455610691642</v>
      </c>
      <c r="T17" s="76">
        <v>1299.6461469495673</v>
      </c>
      <c r="U17" s="17">
        <v>69.713570960053787</v>
      </c>
      <c r="V17" s="16">
        <v>15.118912797281993</v>
      </c>
      <c r="W17" s="16">
        <v>9.2515097958268093</v>
      </c>
      <c r="Y17" s="9"/>
    </row>
    <row r="18" spans="1:25" x14ac:dyDescent="0.25">
      <c r="A18" s="85">
        <v>71</v>
      </c>
      <c r="B18" s="86">
        <v>45.3671056976318</v>
      </c>
      <c r="C18" s="87">
        <v>134.91</v>
      </c>
      <c r="D18" s="87">
        <v>208.03035199868884</v>
      </c>
      <c r="E18" s="86">
        <v>46.460907252577265</v>
      </c>
      <c r="F18" s="87">
        <v>736.20726422553355</v>
      </c>
      <c r="G18" s="87">
        <v>18.539999999999978</v>
      </c>
      <c r="H18" s="87">
        <v>189.15476243071041</v>
      </c>
      <c r="I18" s="86">
        <v>5.2787904964943451</v>
      </c>
      <c r="J18" s="87">
        <v>84.01834703520808</v>
      </c>
      <c r="K18" s="87">
        <v>116.37000000000002</v>
      </c>
      <c r="L18" s="87">
        <v>210.88162894919864</v>
      </c>
      <c r="M18" s="86">
        <v>41.18211675608292</v>
      </c>
      <c r="N18" s="87">
        <v>652.18891719032547</v>
      </c>
      <c r="O18" s="86">
        <v>2.5407330754595754</v>
      </c>
      <c r="P18" s="88">
        <v>1.0282039251684754</v>
      </c>
      <c r="Q18" s="88">
        <v>1.6019763532975937</v>
      </c>
      <c r="R18" s="86">
        <v>21.517895030664608</v>
      </c>
      <c r="S18" s="86">
        <v>20.166608424587171</v>
      </c>
      <c r="T18" s="89">
        <v>1431.8291981456891</v>
      </c>
      <c r="U18" s="87">
        <v>67.585292604433533</v>
      </c>
      <c r="V18" s="86">
        <v>13.742494996664426</v>
      </c>
      <c r="W18" s="86">
        <v>9.9612575039242461</v>
      </c>
      <c r="Y18" s="9"/>
    </row>
    <row r="19" spans="1:25" x14ac:dyDescent="0.25">
      <c r="A19" s="15">
        <v>77</v>
      </c>
      <c r="B19" s="16">
        <v>47.759744522094699</v>
      </c>
      <c r="C19" s="17">
        <v>116.37000000000002</v>
      </c>
      <c r="D19" s="17">
        <v>226.12602740195609</v>
      </c>
      <c r="E19" s="16">
        <v>47.351340307093771</v>
      </c>
      <c r="F19" s="17">
        <v>781.29628737431312</v>
      </c>
      <c r="G19" s="17">
        <v>14.760000000000005</v>
      </c>
      <c r="H19" s="17">
        <v>205.4224174092918</v>
      </c>
      <c r="I19" s="16">
        <v>4.9564663818256776</v>
      </c>
      <c r="J19" s="17">
        <v>82.059251186240999</v>
      </c>
      <c r="K19" s="17">
        <v>101.61000000000001</v>
      </c>
      <c r="L19" s="17">
        <v>228.97780104652986</v>
      </c>
      <c r="M19" s="16">
        <v>42.394873925268094</v>
      </c>
      <c r="N19" s="17">
        <v>699.23703618807212</v>
      </c>
      <c r="O19" s="16">
        <v>2.5458153471715455</v>
      </c>
      <c r="P19" s="13">
        <v>0.97415084069453906</v>
      </c>
      <c r="Q19" s="13">
        <v>1.5572668134433767</v>
      </c>
      <c r="R19" s="16">
        <v>21.061982857600658</v>
      </c>
      <c r="S19" s="16">
        <v>20.271903484800998</v>
      </c>
      <c r="T19" s="76">
        <v>1560.9365683296769</v>
      </c>
      <c r="U19" s="17">
        <v>65.526728723125686</v>
      </c>
      <c r="V19" s="16">
        <v>12.683681361175562</v>
      </c>
      <c r="W19" s="16">
        <v>10.660227141589877</v>
      </c>
      <c r="Y19" s="9"/>
    </row>
    <row r="20" spans="1:25" x14ac:dyDescent="0.25">
      <c r="A20" s="90">
        <v>83</v>
      </c>
      <c r="B20" s="91">
        <v>50.0180595359802</v>
      </c>
      <c r="C20" s="92">
        <v>101.61000000000001</v>
      </c>
      <c r="D20" s="92">
        <v>244.25269312955913</v>
      </c>
      <c r="E20" s="91">
        <v>48.239778969435328</v>
      </c>
      <c r="F20" s="92">
        <v>825.60893333367608</v>
      </c>
      <c r="G20" s="92">
        <v>101.61000000000001</v>
      </c>
      <c r="H20" s="92">
        <v>244.25269312955913</v>
      </c>
      <c r="I20" s="91">
        <v>48.239778969435328</v>
      </c>
      <c r="J20" s="92">
        <v>825.60893333367608</v>
      </c>
      <c r="K20" s="92" t="s">
        <v>27</v>
      </c>
      <c r="L20" s="92" t="s">
        <v>27</v>
      </c>
      <c r="M20" s="91" t="s">
        <v>27</v>
      </c>
      <c r="N20" s="92" t="s">
        <v>27</v>
      </c>
      <c r="O20" s="91" t="s">
        <v>27</v>
      </c>
      <c r="P20" s="93" t="s">
        <v>27</v>
      </c>
      <c r="Q20" s="93">
        <v>1.5151138515579186</v>
      </c>
      <c r="R20" s="91" t="s">
        <v>27</v>
      </c>
      <c r="S20" s="91">
        <v>20.329017656328684</v>
      </c>
      <c r="T20" s="94">
        <v>1687.3084654752809</v>
      </c>
      <c r="U20" s="92">
        <v>64.333525404242863</v>
      </c>
      <c r="V20" s="95" t="s">
        <v>27</v>
      </c>
      <c r="W20" s="96" t="s">
        <v>27</v>
      </c>
    </row>
    <row r="22" spans="1:25" x14ac:dyDescent="0.25">
      <c r="A22" s="5" t="s">
        <v>30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5" ht="15" customHeight="1" x14ac:dyDescent="0.25">
      <c r="A23" s="141" t="s">
        <v>1</v>
      </c>
      <c r="B23" s="141" t="s">
        <v>2</v>
      </c>
      <c r="C23" s="146" t="s">
        <v>31</v>
      </c>
      <c r="D23" s="155"/>
      <c r="E23" s="155"/>
      <c r="F23" s="155"/>
      <c r="G23" s="155"/>
      <c r="H23" s="155"/>
      <c r="I23" s="155"/>
      <c r="J23" s="147"/>
      <c r="K23" s="146" t="s">
        <v>109</v>
      </c>
      <c r="L23" s="147"/>
      <c r="M23" s="146" t="s">
        <v>32</v>
      </c>
      <c r="N23" s="155"/>
      <c r="O23" s="155"/>
      <c r="P23" s="155"/>
      <c r="Q23" s="155"/>
      <c r="R23" s="155"/>
      <c r="S23" s="155"/>
      <c r="T23" s="147"/>
      <c r="U23" s="146" t="s">
        <v>110</v>
      </c>
      <c r="V23" s="147"/>
      <c r="W23" s="143" t="s">
        <v>107</v>
      </c>
    </row>
    <row r="24" spans="1:25" x14ac:dyDescent="0.25">
      <c r="A24" s="145"/>
      <c r="B24" s="145"/>
      <c r="C24" s="82" t="s">
        <v>19</v>
      </c>
      <c r="D24" s="82" t="s">
        <v>20</v>
      </c>
      <c r="E24" s="82" t="s">
        <v>21</v>
      </c>
      <c r="F24" s="82" t="s">
        <v>22</v>
      </c>
      <c r="G24" s="82" t="s">
        <v>23</v>
      </c>
      <c r="H24" s="82" t="s">
        <v>24</v>
      </c>
      <c r="I24" s="82" t="s">
        <v>25</v>
      </c>
      <c r="J24" s="82" t="s">
        <v>26</v>
      </c>
      <c r="K24" s="98" t="s">
        <v>109</v>
      </c>
      <c r="L24" s="98" t="s">
        <v>106</v>
      </c>
      <c r="M24" s="82" t="s">
        <v>19</v>
      </c>
      <c r="N24" s="82" t="s">
        <v>20</v>
      </c>
      <c r="O24" s="82" t="s">
        <v>21</v>
      </c>
      <c r="P24" s="82" t="s">
        <v>22</v>
      </c>
      <c r="Q24" s="82" t="s">
        <v>23</v>
      </c>
      <c r="R24" s="82" t="s">
        <v>24</v>
      </c>
      <c r="S24" s="82" t="s">
        <v>25</v>
      </c>
      <c r="T24" s="82" t="s">
        <v>26</v>
      </c>
      <c r="U24" s="98" t="s">
        <v>110</v>
      </c>
      <c r="V24" s="98" t="s">
        <v>106</v>
      </c>
      <c r="W24" s="144"/>
    </row>
    <row r="25" spans="1:25" s="78" customFormat="1" ht="12" x14ac:dyDescent="0.2">
      <c r="A25" s="81" t="s">
        <v>60</v>
      </c>
      <c r="B25" s="81" t="s">
        <v>58</v>
      </c>
      <c r="C25" s="81" t="s">
        <v>57</v>
      </c>
      <c r="D25" s="81" t="s">
        <v>57</v>
      </c>
      <c r="E25" s="81" t="s">
        <v>57</v>
      </c>
      <c r="F25" s="81" t="s">
        <v>57</v>
      </c>
      <c r="G25" s="81" t="s">
        <v>57</v>
      </c>
      <c r="H25" s="81" t="s">
        <v>57</v>
      </c>
      <c r="I25" s="81" t="s">
        <v>57</v>
      </c>
      <c r="J25" s="81" t="s">
        <v>57</v>
      </c>
      <c r="K25" s="81" t="s">
        <v>64</v>
      </c>
      <c r="L25" s="81" t="s">
        <v>64</v>
      </c>
      <c r="M25" s="81" t="s">
        <v>57</v>
      </c>
      <c r="N25" s="81" t="s">
        <v>57</v>
      </c>
      <c r="O25" s="81" t="s">
        <v>57</v>
      </c>
      <c r="P25" s="81" t="s">
        <v>57</v>
      </c>
      <c r="Q25" s="81" t="s">
        <v>57</v>
      </c>
      <c r="R25" s="81" t="s">
        <v>57</v>
      </c>
      <c r="S25" s="81" t="s">
        <v>57</v>
      </c>
      <c r="T25" s="81" t="s">
        <v>57</v>
      </c>
      <c r="U25" s="81" t="s">
        <v>64</v>
      </c>
      <c r="V25" s="81" t="s">
        <v>64</v>
      </c>
      <c r="W25" s="81" t="s">
        <v>64</v>
      </c>
    </row>
    <row r="26" spans="1:25" x14ac:dyDescent="0.25">
      <c r="A26" s="72">
        <v>17</v>
      </c>
      <c r="B26" s="16">
        <v>13.4955344161987</v>
      </c>
      <c r="C26" s="17">
        <v>40.815264038308683</v>
      </c>
      <c r="D26" s="17">
        <v>93.957159359947909</v>
      </c>
      <c r="E26" s="17">
        <v>24.416745125142551</v>
      </c>
      <c r="F26" s="17">
        <v>1.2359839805586286</v>
      </c>
      <c r="G26" s="17">
        <v>0</v>
      </c>
      <c r="H26" s="17">
        <v>0</v>
      </c>
      <c r="I26" s="17">
        <v>0</v>
      </c>
      <c r="J26" s="17">
        <v>0</v>
      </c>
      <c r="K26" s="76">
        <v>2131.4820098231367</v>
      </c>
      <c r="L26" s="76">
        <v>1522.2246539832026</v>
      </c>
      <c r="M26" s="17">
        <v>19.18640292600945</v>
      </c>
      <c r="N26" s="17">
        <v>27.445628247006198</v>
      </c>
      <c r="O26" s="17">
        <v>6.487110407573681</v>
      </c>
      <c r="P26" s="17">
        <v>0.26093219051764055</v>
      </c>
      <c r="Q26" s="17">
        <v>0</v>
      </c>
      <c r="R26" s="17">
        <v>0</v>
      </c>
      <c r="S26" s="17">
        <v>0</v>
      </c>
      <c r="T26" s="17">
        <v>0</v>
      </c>
      <c r="U26" s="76">
        <v>581.02449490894151</v>
      </c>
      <c r="V26" s="76">
        <v>414.94594213906464</v>
      </c>
      <c r="W26" s="76">
        <v>1522.2246539832026</v>
      </c>
    </row>
    <row r="27" spans="1:25" x14ac:dyDescent="0.25">
      <c r="A27" s="97">
        <v>23</v>
      </c>
      <c r="B27" s="86">
        <v>18.071350629806499</v>
      </c>
      <c r="C27" s="87">
        <v>10.764689528306594</v>
      </c>
      <c r="D27" s="87">
        <v>82.228612023520881</v>
      </c>
      <c r="E27" s="87">
        <v>59.648625256137016</v>
      </c>
      <c r="F27" s="87">
        <v>83.461413145987649</v>
      </c>
      <c r="G27" s="87">
        <v>8.1408175161933514</v>
      </c>
      <c r="H27" s="87">
        <v>0</v>
      </c>
      <c r="I27" s="87">
        <v>0</v>
      </c>
      <c r="J27" s="87">
        <v>0</v>
      </c>
      <c r="K27" s="89">
        <v>6489.0679536986581</v>
      </c>
      <c r="L27" s="89">
        <v>4115.0808431800015</v>
      </c>
      <c r="M27" s="87">
        <v>7.1128408299447878</v>
      </c>
      <c r="N27" s="87">
        <v>29.137249124339988</v>
      </c>
      <c r="O27" s="87">
        <v>9.7676001953015259</v>
      </c>
      <c r="P27" s="87">
        <v>13.377487605526364</v>
      </c>
      <c r="Q27" s="87">
        <v>1.0900964437287657</v>
      </c>
      <c r="R27" s="87">
        <v>0</v>
      </c>
      <c r="S27" s="87">
        <v>0</v>
      </c>
      <c r="T27" s="87">
        <v>0</v>
      </c>
      <c r="U27" s="89">
        <v>1158.417564320448</v>
      </c>
      <c r="V27" s="89">
        <v>734.61735357867769</v>
      </c>
      <c r="W27" s="89">
        <v>4530.0267853190662</v>
      </c>
    </row>
    <row r="28" spans="1:25" x14ac:dyDescent="0.25">
      <c r="A28" s="72">
        <v>29</v>
      </c>
      <c r="B28" s="16">
        <v>22.425703968048001</v>
      </c>
      <c r="C28" s="17">
        <v>2.0752354930991315</v>
      </c>
      <c r="D28" s="17">
        <v>30.818584796819387</v>
      </c>
      <c r="E28" s="17">
        <v>44.701382270421796</v>
      </c>
      <c r="F28" s="17">
        <v>130.87258101966682</v>
      </c>
      <c r="G28" s="17">
        <v>119.69394471588123</v>
      </c>
      <c r="H28" s="17">
        <v>0</v>
      </c>
      <c r="I28" s="17">
        <v>0</v>
      </c>
      <c r="J28" s="17">
        <v>0</v>
      </c>
      <c r="K28" s="76">
        <v>13177.080904189006</v>
      </c>
      <c r="L28" s="76">
        <v>7420.1764243145644</v>
      </c>
      <c r="M28" s="17">
        <v>1.5871436732722666</v>
      </c>
      <c r="N28" s="17">
        <v>15.848143325816206</v>
      </c>
      <c r="O28" s="17">
        <v>15.021097650301398</v>
      </c>
      <c r="P28" s="17">
        <v>20.466750046012095</v>
      </c>
      <c r="Q28" s="17">
        <v>15.388710827885719</v>
      </c>
      <c r="R28" s="17">
        <v>0</v>
      </c>
      <c r="S28" s="17">
        <v>0</v>
      </c>
      <c r="T28" s="17">
        <v>0</v>
      </c>
      <c r="U28" s="76">
        <v>2034.5550264579672</v>
      </c>
      <c r="V28" s="76">
        <v>1145.6829741779025</v>
      </c>
      <c r="W28" s="76">
        <v>8569.7397200323066</v>
      </c>
    </row>
    <row r="29" spans="1:25" x14ac:dyDescent="0.25">
      <c r="A29" s="97">
        <v>35</v>
      </c>
      <c r="B29" s="86">
        <v>26.507745502471899</v>
      </c>
      <c r="C29" s="87">
        <v>0.21934684021270104</v>
      </c>
      <c r="D29" s="87">
        <v>9.6557571979931218</v>
      </c>
      <c r="E29" s="87">
        <v>16.156027872891649</v>
      </c>
      <c r="F29" s="87">
        <v>91.669778268220526</v>
      </c>
      <c r="G29" s="87">
        <v>213.44315397665653</v>
      </c>
      <c r="H29" s="87">
        <v>76.190291185625398</v>
      </c>
      <c r="I29" s="87">
        <v>0</v>
      </c>
      <c r="J29" s="87">
        <v>0</v>
      </c>
      <c r="K29" s="89">
        <v>20490.866459584362</v>
      </c>
      <c r="L29" s="89">
        <v>10245.999051450044</v>
      </c>
      <c r="M29" s="87">
        <v>0.18492238688338017</v>
      </c>
      <c r="N29" s="87">
        <v>6.3725784514327311</v>
      </c>
      <c r="O29" s="87">
        <v>8.5447226260995581</v>
      </c>
      <c r="P29" s="87">
        <v>27.640986607715849</v>
      </c>
      <c r="Q29" s="87">
        <v>26.948463282815215</v>
      </c>
      <c r="R29" s="87">
        <v>8.2163582090900356</v>
      </c>
      <c r="S29" s="87">
        <v>0</v>
      </c>
      <c r="T29" s="87">
        <v>0</v>
      </c>
      <c r="U29" s="89">
        <v>3079.2223087073212</v>
      </c>
      <c r="V29" s="89">
        <v>1539.6961820256272</v>
      </c>
      <c r="W29" s="89">
        <v>12541.245321345688</v>
      </c>
    </row>
    <row r="30" spans="1:25" x14ac:dyDescent="0.25">
      <c r="A30" s="72">
        <v>41</v>
      </c>
      <c r="B30" s="16">
        <v>30.299626352310099</v>
      </c>
      <c r="C30" s="17">
        <v>0</v>
      </c>
      <c r="D30" s="17">
        <v>2.090015791954988</v>
      </c>
      <c r="E30" s="17">
        <v>4.6981490836224715</v>
      </c>
      <c r="F30" s="17">
        <v>34.039165595992571</v>
      </c>
      <c r="G30" s="17">
        <v>198.51902868459808</v>
      </c>
      <c r="H30" s="17">
        <v>207.28599673470981</v>
      </c>
      <c r="I30" s="17">
        <v>29.856565573152743</v>
      </c>
      <c r="J30" s="17">
        <v>0</v>
      </c>
      <c r="K30" s="76">
        <v>27900.43356150209</v>
      </c>
      <c r="L30" s="76">
        <v>12388.077391683124</v>
      </c>
      <c r="M30" s="17">
        <v>0</v>
      </c>
      <c r="N30" s="17">
        <v>1.6786429965391605</v>
      </c>
      <c r="O30" s="17">
        <v>3.2744187992007752</v>
      </c>
      <c r="P30" s="17">
        <v>16.576804759356286</v>
      </c>
      <c r="Q30" s="17">
        <v>40.893518801370007</v>
      </c>
      <c r="R30" s="17">
        <v>20.246037061032556</v>
      </c>
      <c r="S30" s="17">
        <v>4.9548792883716857</v>
      </c>
      <c r="T30" s="17">
        <v>0</v>
      </c>
      <c r="U30" s="76">
        <v>4219.4942343293978</v>
      </c>
      <c r="V30" s="76">
        <v>1873.4985251540709</v>
      </c>
      <c r="W30" s="76">
        <v>16223.019843604396</v>
      </c>
    </row>
    <row r="31" spans="1:25" x14ac:dyDescent="0.25">
      <c r="A31" s="97">
        <v>47</v>
      </c>
      <c r="B31" s="86">
        <v>33.786042949676499</v>
      </c>
      <c r="C31" s="87">
        <v>0</v>
      </c>
      <c r="D31" s="87">
        <v>5.7748188243765715E-2</v>
      </c>
      <c r="E31" s="87">
        <v>0.73839237768806654</v>
      </c>
      <c r="F31" s="87">
        <v>10.070551939079635</v>
      </c>
      <c r="G31" s="87">
        <v>104.10069471269765</v>
      </c>
      <c r="H31" s="87">
        <v>253.28323103369925</v>
      </c>
      <c r="I31" s="87">
        <v>164.99881501550891</v>
      </c>
      <c r="J31" s="87">
        <v>0</v>
      </c>
      <c r="K31" s="89">
        <v>35295.311058076506</v>
      </c>
      <c r="L31" s="89">
        <v>13915.824432541713</v>
      </c>
      <c r="M31" s="87">
        <v>0</v>
      </c>
      <c r="N31" s="87">
        <v>5.7748188243765715E-2</v>
      </c>
      <c r="O31" s="87">
        <v>0.66164012513304471</v>
      </c>
      <c r="P31" s="87">
        <v>6.6298291914008596</v>
      </c>
      <c r="Q31" s="87">
        <v>33.412814183679615</v>
      </c>
      <c r="R31" s="87">
        <v>31.462282000739549</v>
      </c>
      <c r="S31" s="87">
        <v>14.835976610892127</v>
      </c>
      <c r="T31" s="87">
        <v>0</v>
      </c>
      <c r="U31" s="89">
        <v>4777.5624322835565</v>
      </c>
      <c r="V31" s="89">
        <v>1883.6417084912382</v>
      </c>
      <c r="W31" s="89">
        <v>19624.265409617055</v>
      </c>
    </row>
    <row r="32" spans="1:25" x14ac:dyDescent="0.25">
      <c r="A32" s="72">
        <v>53</v>
      </c>
      <c r="B32" s="16">
        <v>37.015271827697703</v>
      </c>
      <c r="C32" s="17">
        <v>0</v>
      </c>
      <c r="D32" s="17">
        <v>0</v>
      </c>
      <c r="E32" s="17">
        <v>0</v>
      </c>
      <c r="F32" s="17">
        <v>1.4801634759102495</v>
      </c>
      <c r="G32" s="17">
        <v>32.300508535692728</v>
      </c>
      <c r="H32" s="17">
        <v>200.3924672994375</v>
      </c>
      <c r="I32" s="17">
        <v>264.92248200418021</v>
      </c>
      <c r="J32" s="17">
        <v>88.637839291802237</v>
      </c>
      <c r="K32" s="76">
        <v>42930.068070082154</v>
      </c>
      <c r="L32" s="76">
        <v>15029.774812896185</v>
      </c>
      <c r="M32" s="17">
        <v>0</v>
      </c>
      <c r="N32" s="17">
        <v>0</v>
      </c>
      <c r="O32" s="17">
        <v>0</v>
      </c>
      <c r="P32" s="17">
        <v>1.2261438627195471</v>
      </c>
      <c r="Q32" s="17">
        <v>15.901741803303066</v>
      </c>
      <c r="R32" s="17">
        <v>43.780069428358509</v>
      </c>
      <c r="S32" s="17">
        <v>20.9601385253073</v>
      </c>
      <c r="T32" s="17">
        <v>4.5229503130539133</v>
      </c>
      <c r="U32" s="76">
        <v>5245.8556422435886</v>
      </c>
      <c r="V32" s="76">
        <v>1836.5689258906211</v>
      </c>
      <c r="W32" s="76">
        <v>22621.857498462767</v>
      </c>
    </row>
    <row r="33" spans="1:25" x14ac:dyDescent="0.25">
      <c r="A33" s="97">
        <v>59</v>
      </c>
      <c r="B33" s="86">
        <v>40.023278141021699</v>
      </c>
      <c r="C33" s="87">
        <v>0</v>
      </c>
      <c r="D33" s="87">
        <v>0</v>
      </c>
      <c r="E33" s="87">
        <v>0</v>
      </c>
      <c r="F33" s="87">
        <v>0</v>
      </c>
      <c r="G33" s="87">
        <v>5.4992446721038775</v>
      </c>
      <c r="H33" s="87">
        <v>92.875549975013683</v>
      </c>
      <c r="I33" s="87">
        <v>271.75535349689079</v>
      </c>
      <c r="J33" s="87">
        <v>269.0045174520402</v>
      </c>
      <c r="K33" s="89">
        <v>50274.919164515326</v>
      </c>
      <c r="L33" s="89">
        <v>15629.361885187684</v>
      </c>
      <c r="M33" s="87">
        <v>0</v>
      </c>
      <c r="N33" s="87">
        <v>0</v>
      </c>
      <c r="O33" s="87">
        <v>0</v>
      </c>
      <c r="P33" s="87">
        <v>0</v>
      </c>
      <c r="Q33" s="87">
        <v>3.2313801294483544</v>
      </c>
      <c r="R33" s="87">
        <v>34.857016560406507</v>
      </c>
      <c r="S33" s="87">
        <v>27.690565770754255</v>
      </c>
      <c r="T33" s="87">
        <v>19.876311532189479</v>
      </c>
      <c r="U33" s="89">
        <v>5723.6652974706776</v>
      </c>
      <c r="V33" s="89">
        <v>1779.3611154525672</v>
      </c>
      <c r="W33" s="89">
        <v>25058.013496644886</v>
      </c>
    </row>
    <row r="34" spans="1:25" x14ac:dyDescent="0.25">
      <c r="A34" s="72">
        <v>65</v>
      </c>
      <c r="B34" s="16">
        <v>42.786904228210403</v>
      </c>
      <c r="C34" s="17">
        <v>0</v>
      </c>
      <c r="D34" s="17">
        <v>0</v>
      </c>
      <c r="E34" s="17">
        <v>0</v>
      </c>
      <c r="F34" s="17">
        <v>0</v>
      </c>
      <c r="G34" s="17">
        <v>0.15051853554445097</v>
      </c>
      <c r="H34" s="17">
        <v>26.632265345855107</v>
      </c>
      <c r="I34" s="17">
        <v>188.14066093207805</v>
      </c>
      <c r="J34" s="17">
        <v>473.00786350067045</v>
      </c>
      <c r="K34" s="76">
        <v>56576.345361510866</v>
      </c>
      <c r="L34" s="76">
        <v>15617.939119378751</v>
      </c>
      <c r="M34" s="17">
        <v>0</v>
      </c>
      <c r="N34" s="17">
        <v>0</v>
      </c>
      <c r="O34" s="17">
        <v>0</v>
      </c>
      <c r="P34" s="17">
        <v>0</v>
      </c>
      <c r="Q34" s="17">
        <v>0.15051853554445097</v>
      </c>
      <c r="R34" s="17">
        <v>13.556394636039636</v>
      </c>
      <c r="S34" s="17">
        <v>42.208952013389727</v>
      </c>
      <c r="T34" s="17">
        <v>27.991230099762348</v>
      </c>
      <c r="U34" s="76">
        <v>5944.4802822696001</v>
      </c>
      <c r="V34" s="76">
        <v>1640.977877796855</v>
      </c>
      <c r="W34" s="76">
        <v>26825.951846288521</v>
      </c>
    </row>
    <row r="35" spans="1:25" x14ac:dyDescent="0.25">
      <c r="A35" s="97">
        <v>71</v>
      </c>
      <c r="B35" s="86">
        <v>45.3671056976318</v>
      </c>
      <c r="C35" s="87">
        <v>0</v>
      </c>
      <c r="D35" s="87">
        <v>0</v>
      </c>
      <c r="E35" s="87">
        <v>0</v>
      </c>
      <c r="F35" s="87">
        <v>0</v>
      </c>
      <c r="G35" s="87">
        <v>0</v>
      </c>
      <c r="H35" s="87">
        <v>3.7051908737973003</v>
      </c>
      <c r="I35" s="87">
        <v>72.300898953551481</v>
      </c>
      <c r="J35" s="87">
        <v>659.29634101770216</v>
      </c>
      <c r="K35" s="89">
        <v>62016.724888853241</v>
      </c>
      <c r="L35" s="89">
        <v>15201.856627066385</v>
      </c>
      <c r="M35" s="87">
        <v>0</v>
      </c>
      <c r="N35" s="87">
        <v>0</v>
      </c>
      <c r="O35" s="87">
        <v>0</v>
      </c>
      <c r="P35" s="87">
        <v>0</v>
      </c>
      <c r="Q35" s="87">
        <v>0</v>
      </c>
      <c r="R35" s="87">
        <v>2.9736458648392832</v>
      </c>
      <c r="S35" s="87">
        <v>29.051541961227326</v>
      </c>
      <c r="T35" s="87">
        <v>51.088325828659372</v>
      </c>
      <c r="U35" s="89">
        <v>6171.371940897373</v>
      </c>
      <c r="V35" s="89">
        <v>1512.7582374909421</v>
      </c>
      <c r="W35" s="89">
        <v>28050.847231773012</v>
      </c>
    </row>
    <row r="36" spans="1:25" x14ac:dyDescent="0.25">
      <c r="A36" s="72">
        <v>77</v>
      </c>
      <c r="B36" s="16">
        <v>47.759744522094699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14.114809959599963</v>
      </c>
      <c r="J36" s="17">
        <v>766.39431728621855</v>
      </c>
      <c r="K36" s="76">
        <v>66421.955915539365</v>
      </c>
      <c r="L36" s="76">
        <v>14457.674218963046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6.9751941633816585</v>
      </c>
      <c r="T36" s="17">
        <v>74.296896894365133</v>
      </c>
      <c r="U36" s="76">
        <v>6246.2731007500142</v>
      </c>
      <c r="V36" s="76">
        <v>1359.5893154388232</v>
      </c>
      <c r="W36" s="76">
        <v>28819.423061160611</v>
      </c>
    </row>
    <row r="37" spans="1:25" x14ac:dyDescent="0.25">
      <c r="A37" s="97">
        <v>83</v>
      </c>
      <c r="B37" s="91">
        <v>50.0180595359802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0.75230130896699943</v>
      </c>
      <c r="J37" s="92">
        <v>824.85663202470778</v>
      </c>
      <c r="K37" s="94">
        <v>70376.955080896805</v>
      </c>
      <c r="L37" s="94">
        <v>13602.421133123471</v>
      </c>
      <c r="M37" s="92">
        <v>0</v>
      </c>
      <c r="N37" s="92">
        <v>0</v>
      </c>
      <c r="O37" s="92">
        <v>0</v>
      </c>
      <c r="P37" s="92">
        <v>0</v>
      </c>
      <c r="Q37" s="92">
        <v>0</v>
      </c>
      <c r="R37" s="92">
        <v>0</v>
      </c>
      <c r="S37" s="92">
        <v>0.75230130896699943</v>
      </c>
      <c r="T37" s="92">
        <v>824.85663202470778</v>
      </c>
      <c r="U37" s="94">
        <v>70376.955080896805</v>
      </c>
      <c r="V37" s="94">
        <v>13602.421133123471</v>
      </c>
      <c r="W37" s="94">
        <v>29323.759290759859</v>
      </c>
    </row>
    <row r="38" spans="1:25" s="6" customFormat="1" x14ac:dyDescent="0.25">
      <c r="A38" s="18" t="s">
        <v>13</v>
      </c>
      <c r="B38" s="19" t="s">
        <v>27</v>
      </c>
      <c r="C38" s="19" t="s">
        <v>27</v>
      </c>
      <c r="D38" s="19" t="s">
        <v>27</v>
      </c>
      <c r="E38" s="19" t="s">
        <v>27</v>
      </c>
      <c r="F38" s="19" t="s">
        <v>27</v>
      </c>
      <c r="G38" s="19" t="s">
        <v>27</v>
      </c>
      <c r="H38" s="19" t="s">
        <v>27</v>
      </c>
      <c r="I38" s="19" t="s">
        <v>27</v>
      </c>
      <c r="J38" s="19" t="s">
        <v>27</v>
      </c>
      <c r="K38" s="19" t="s">
        <v>27</v>
      </c>
      <c r="L38" s="19" t="s">
        <v>27</v>
      </c>
      <c r="M38" s="18">
        <v>28.071309816109881</v>
      </c>
      <c r="N38" s="18">
        <v>80.539990333378043</v>
      </c>
      <c r="O38" s="18">
        <v>43.756589803609984</v>
      </c>
      <c r="P38" s="18">
        <v>86.178934263248649</v>
      </c>
      <c r="Q38" s="18">
        <v>137.01724400777519</v>
      </c>
      <c r="R38" s="18">
        <v>155.09180376050608</v>
      </c>
      <c r="S38" s="18">
        <v>147.42954964229108</v>
      </c>
      <c r="T38" s="18">
        <v>1002.632346692738</v>
      </c>
      <c r="U38" s="19" t="s">
        <v>27</v>
      </c>
      <c r="V38" s="77">
        <v>29323.759290759859</v>
      </c>
      <c r="W38" s="20" t="s">
        <v>27</v>
      </c>
    </row>
    <row r="39" spans="1:25" x14ac:dyDescent="0.25">
      <c r="A39"/>
      <c r="V39" s="2"/>
    </row>
    <row r="40" spans="1:25" x14ac:dyDescent="0.25">
      <c r="H40" s="8"/>
      <c r="I40" s="8"/>
      <c r="J40" s="8"/>
      <c r="W40" s="8" t="s">
        <v>75</v>
      </c>
    </row>
    <row r="41" spans="1:25" x14ac:dyDescent="0.25">
      <c r="V41" s="2"/>
      <c r="W41" s="8" t="s">
        <v>76</v>
      </c>
      <c r="X41" s="2"/>
      <c r="Y41" s="2"/>
    </row>
    <row r="42" spans="1: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V42" s="2"/>
      <c r="W42" s="8"/>
      <c r="X42" s="2"/>
      <c r="Y42" s="8"/>
    </row>
    <row r="43" spans="1:25" x14ac:dyDescent="0.25">
      <c r="V43" s="2"/>
      <c r="W43" s="2"/>
      <c r="X43" s="2"/>
      <c r="Y43" s="2"/>
    </row>
    <row r="44" spans="1:25" x14ac:dyDescent="0.25"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V45" s="2"/>
      <c r="W45" s="2"/>
      <c r="X45" s="2"/>
      <c r="Y45" s="2"/>
    </row>
    <row r="46" spans="1:25" x14ac:dyDescent="0.25">
      <c r="V46" s="2"/>
      <c r="W46" s="2"/>
      <c r="X46" s="2"/>
      <c r="Y46" s="2"/>
    </row>
  </sheetData>
  <mergeCells count="17">
    <mergeCell ref="D1:T1"/>
    <mergeCell ref="K6:N6"/>
    <mergeCell ref="W23:W24"/>
    <mergeCell ref="V6:V7"/>
    <mergeCell ref="W6:W7"/>
    <mergeCell ref="U6:U7"/>
    <mergeCell ref="K23:L23"/>
    <mergeCell ref="M23:T23"/>
    <mergeCell ref="O6:T6"/>
    <mergeCell ref="U23:V23"/>
    <mergeCell ref="A23:A24"/>
    <mergeCell ref="A6:A7"/>
    <mergeCell ref="B6:B7"/>
    <mergeCell ref="C6:F6"/>
    <mergeCell ref="G6:J6"/>
    <mergeCell ref="B23:B24"/>
    <mergeCell ref="C23:J23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A46"/>
  <sheetViews>
    <sheetView workbookViewId="0">
      <selection activeCell="W23" sqref="W23:W24"/>
    </sheetView>
  </sheetViews>
  <sheetFormatPr defaultColWidth="11.42578125" defaultRowHeight="15" x14ac:dyDescent="0.25"/>
  <cols>
    <col min="1" max="21" width="6.7109375" style="2" customWidth="1"/>
    <col min="22" max="23" width="6.7109375" customWidth="1"/>
  </cols>
  <sheetData>
    <row r="1" spans="1:27" ht="30.75" customHeight="1" x14ac:dyDescent="0.4">
      <c r="D1" s="135" t="s">
        <v>73</v>
      </c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</row>
    <row r="2" spans="1:27" x14ac:dyDescent="0.25">
      <c r="A2" s="5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U2" s="8"/>
      <c r="V2" s="8"/>
      <c r="W2" s="8"/>
    </row>
    <row r="3" spans="1:27" x14ac:dyDescent="0.25">
      <c r="A3" s="5" t="s">
        <v>78</v>
      </c>
      <c r="B3" s="5"/>
      <c r="C3" s="5"/>
      <c r="D3" s="7"/>
      <c r="E3" s="7" t="s">
        <v>79</v>
      </c>
      <c r="F3" s="7"/>
      <c r="G3" s="7"/>
      <c r="H3" s="7"/>
      <c r="I3" s="7"/>
      <c r="J3" s="7"/>
      <c r="K3" s="7" t="s">
        <v>84</v>
      </c>
      <c r="L3" s="7"/>
      <c r="M3" s="7"/>
      <c r="N3" s="7"/>
      <c r="R3" s="7" t="s">
        <v>82</v>
      </c>
      <c r="V3" s="2"/>
      <c r="W3" s="2"/>
    </row>
    <row r="4" spans="1:27" x14ac:dyDescent="0.25">
      <c r="A4" s="7"/>
      <c r="B4" s="7"/>
      <c r="C4" s="7"/>
      <c r="D4" s="7"/>
      <c r="E4" s="7" t="s">
        <v>33</v>
      </c>
      <c r="F4" s="7"/>
      <c r="G4" s="7"/>
      <c r="H4" s="7"/>
      <c r="I4" s="7"/>
      <c r="J4" s="7"/>
      <c r="K4" s="7" t="s">
        <v>85</v>
      </c>
      <c r="L4" s="7"/>
      <c r="M4" s="7"/>
      <c r="N4" s="7"/>
      <c r="O4" s="1"/>
      <c r="P4" s="1"/>
      <c r="Q4" s="1"/>
      <c r="R4" s="7" t="s">
        <v>81</v>
      </c>
      <c r="S4" s="1"/>
      <c r="T4" s="1"/>
      <c r="U4" s="1"/>
      <c r="V4" s="1"/>
      <c r="W4" s="7"/>
    </row>
    <row r="5" spans="1:27" x14ac:dyDescent="0.25">
      <c r="A5" s="5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7" x14ac:dyDescent="0.25">
      <c r="A6" s="151" t="s">
        <v>1</v>
      </c>
      <c r="B6" s="151" t="s">
        <v>2</v>
      </c>
      <c r="C6" s="153" t="s">
        <v>104</v>
      </c>
      <c r="D6" s="154"/>
      <c r="E6" s="154"/>
      <c r="F6" s="154"/>
      <c r="G6" s="154" t="s">
        <v>102</v>
      </c>
      <c r="H6" s="154"/>
      <c r="I6" s="154"/>
      <c r="J6" s="154"/>
      <c r="K6" s="154" t="s">
        <v>103</v>
      </c>
      <c r="L6" s="154"/>
      <c r="M6" s="154"/>
      <c r="N6" s="154"/>
      <c r="O6" s="148" t="s">
        <v>3</v>
      </c>
      <c r="P6" s="149"/>
      <c r="Q6" s="149"/>
      <c r="R6" s="149"/>
      <c r="S6" s="149"/>
      <c r="T6" s="150"/>
      <c r="U6" s="141" t="s">
        <v>14</v>
      </c>
      <c r="V6" s="143" t="s">
        <v>63</v>
      </c>
      <c r="W6" s="141" t="s">
        <v>29</v>
      </c>
    </row>
    <row r="7" spans="1:27" x14ac:dyDescent="0.25">
      <c r="A7" s="152"/>
      <c r="B7" s="152"/>
      <c r="C7" s="74" t="s">
        <v>4</v>
      </c>
      <c r="D7" s="74" t="s">
        <v>5</v>
      </c>
      <c r="E7" s="74" t="s">
        <v>6</v>
      </c>
      <c r="F7" s="74" t="s">
        <v>7</v>
      </c>
      <c r="G7" s="74" t="s">
        <v>4</v>
      </c>
      <c r="H7" s="74" t="s">
        <v>5</v>
      </c>
      <c r="I7" s="74" t="s">
        <v>6</v>
      </c>
      <c r="J7" s="74" t="s">
        <v>7</v>
      </c>
      <c r="K7" s="74" t="s">
        <v>4</v>
      </c>
      <c r="L7" s="74" t="s">
        <v>5</v>
      </c>
      <c r="M7" s="74" t="s">
        <v>6</v>
      </c>
      <c r="N7" s="74" t="s">
        <v>7</v>
      </c>
      <c r="O7" s="73" t="s">
        <v>16</v>
      </c>
      <c r="P7" s="74" t="s">
        <v>8</v>
      </c>
      <c r="Q7" s="74" t="s">
        <v>9</v>
      </c>
      <c r="R7" s="74" t="s">
        <v>10</v>
      </c>
      <c r="S7" s="74" t="s">
        <v>11</v>
      </c>
      <c r="T7" s="74" t="s">
        <v>12</v>
      </c>
      <c r="U7" s="142"/>
      <c r="V7" s="144"/>
      <c r="W7" s="145"/>
    </row>
    <row r="8" spans="1:27" s="78" customFormat="1" ht="12" customHeight="1" x14ac:dyDescent="0.2">
      <c r="A8" s="81" t="s">
        <v>60</v>
      </c>
      <c r="B8" s="81" t="s">
        <v>58</v>
      </c>
      <c r="C8" s="81" t="s">
        <v>59</v>
      </c>
      <c r="D8" s="81" t="s">
        <v>54</v>
      </c>
      <c r="E8" s="81" t="s">
        <v>53</v>
      </c>
      <c r="F8" s="81" t="s">
        <v>57</v>
      </c>
      <c r="G8" s="81" t="s">
        <v>59</v>
      </c>
      <c r="H8" s="81" t="s">
        <v>54</v>
      </c>
      <c r="I8" s="81" t="s">
        <v>53</v>
      </c>
      <c r="J8" s="81" t="s">
        <v>57</v>
      </c>
      <c r="K8" s="81" t="s">
        <v>59</v>
      </c>
      <c r="L8" s="81" t="s">
        <v>54</v>
      </c>
      <c r="M8" s="81" t="s">
        <v>53</v>
      </c>
      <c r="N8" s="81" t="s">
        <v>57</v>
      </c>
      <c r="O8" s="81" t="s">
        <v>55</v>
      </c>
      <c r="P8" s="81" t="s">
        <v>52</v>
      </c>
      <c r="Q8" s="81" t="s">
        <v>52</v>
      </c>
      <c r="R8" s="81" t="s">
        <v>56</v>
      </c>
      <c r="S8" s="81" t="s">
        <v>56</v>
      </c>
      <c r="T8" s="81" t="s">
        <v>57</v>
      </c>
      <c r="U8" s="79"/>
      <c r="V8" s="80" t="s">
        <v>62</v>
      </c>
      <c r="W8" s="81" t="s">
        <v>58</v>
      </c>
    </row>
    <row r="9" spans="1:27" x14ac:dyDescent="0.25">
      <c r="A9" s="14">
        <v>19</v>
      </c>
      <c r="B9" s="11">
        <v>13.081725549697801</v>
      </c>
      <c r="C9" s="10">
        <v>2012.9549999999999</v>
      </c>
      <c r="D9" s="10">
        <v>42.059660937226624</v>
      </c>
      <c r="E9" s="11">
        <v>28.337121798536241</v>
      </c>
      <c r="F9" s="10">
        <v>148.43861361725453</v>
      </c>
      <c r="G9" s="10">
        <v>800.11500000000001</v>
      </c>
      <c r="H9" s="10">
        <v>39.311657372066591</v>
      </c>
      <c r="I9" s="11">
        <v>9.8397770044654713</v>
      </c>
      <c r="J9" s="10">
        <v>49.56940794954653</v>
      </c>
      <c r="K9" s="10">
        <v>1212.8399999999999</v>
      </c>
      <c r="L9" s="10">
        <v>43.778197089607829</v>
      </c>
      <c r="M9" s="11">
        <v>18.49734479407077</v>
      </c>
      <c r="N9" s="10">
        <v>98.869205667708002</v>
      </c>
      <c r="O9" s="11">
        <v>2.1148968174288165</v>
      </c>
      <c r="P9" s="12">
        <v>2.029457085039855</v>
      </c>
      <c r="Q9" s="12">
        <v>1.4914274630808548</v>
      </c>
      <c r="R9" s="11">
        <v>19.634480911846353</v>
      </c>
      <c r="S9" s="11">
        <v>7.812558611434449</v>
      </c>
      <c r="T9" s="75">
        <v>148.43861361725453</v>
      </c>
      <c r="U9" s="10">
        <v>93.876531276717003</v>
      </c>
      <c r="V9" s="11">
        <v>39.748280512977189</v>
      </c>
      <c r="W9" s="16">
        <v>3.0855524150208926</v>
      </c>
      <c r="Y9" s="9"/>
      <c r="Z9" s="9"/>
      <c r="AA9" s="9"/>
    </row>
    <row r="10" spans="1:27" x14ac:dyDescent="0.25">
      <c r="A10" s="85">
        <v>25</v>
      </c>
      <c r="B10" s="86">
        <v>17.078585311889601</v>
      </c>
      <c r="C10" s="87">
        <v>1208.8800000000001</v>
      </c>
      <c r="D10" s="87">
        <v>56.467577994180729</v>
      </c>
      <c r="E10" s="86">
        <v>30.6740873043099</v>
      </c>
      <c r="F10" s="87">
        <v>216.67609113878612</v>
      </c>
      <c r="G10" s="87">
        <v>354.06000000000017</v>
      </c>
      <c r="H10" s="87">
        <v>48.521307289725605</v>
      </c>
      <c r="I10" s="86">
        <v>6.6333358695786302</v>
      </c>
      <c r="J10" s="87">
        <v>44.350224128269218</v>
      </c>
      <c r="K10" s="87">
        <v>854.81999999999994</v>
      </c>
      <c r="L10" s="87">
        <v>59.448597563621455</v>
      </c>
      <c r="M10" s="86">
        <v>24.04075143473127</v>
      </c>
      <c r="N10" s="87">
        <v>172.3258670105169</v>
      </c>
      <c r="O10" s="86">
        <v>2.0963274067699196</v>
      </c>
      <c r="P10" s="88">
        <v>1.8457499584869457</v>
      </c>
      <c r="Q10" s="88">
        <v>1.6205545723510146</v>
      </c>
      <c r="R10" s="86">
        <v>21.236897399395655</v>
      </c>
      <c r="S10" s="86">
        <v>10.649819963533306</v>
      </c>
      <c r="T10" s="89">
        <v>266.24549908833262</v>
      </c>
      <c r="U10" s="87">
        <v>90.252689463563627</v>
      </c>
      <c r="V10" s="86">
        <v>29.288266825491373</v>
      </c>
      <c r="W10" s="86">
        <v>3.6753385242787746</v>
      </c>
    </row>
    <row r="11" spans="1:27" x14ac:dyDescent="0.25">
      <c r="A11" s="15">
        <v>31</v>
      </c>
      <c r="B11" s="16">
        <v>20.918307731628399</v>
      </c>
      <c r="C11" s="17">
        <v>850.59</v>
      </c>
      <c r="D11" s="17">
        <v>72.026562004240972</v>
      </c>
      <c r="E11" s="16">
        <v>35.115251185652944</v>
      </c>
      <c r="F11" s="17">
        <v>299.74725140689083</v>
      </c>
      <c r="G11" s="17">
        <v>235.98000000000002</v>
      </c>
      <c r="H11" s="17">
        <v>61.618904225843409</v>
      </c>
      <c r="I11" s="16">
        <v>7.1300614807232137</v>
      </c>
      <c r="J11" s="17">
        <v>58.871953571866243</v>
      </c>
      <c r="K11" s="17">
        <v>614.61</v>
      </c>
      <c r="L11" s="17">
        <v>75.643087770408499</v>
      </c>
      <c r="M11" s="16">
        <v>27.985189704929731</v>
      </c>
      <c r="N11" s="17">
        <v>240.87529783502458</v>
      </c>
      <c r="O11" s="16">
        <v>2.1238244190295057</v>
      </c>
      <c r="P11" s="13">
        <v>1.6721370458695948</v>
      </c>
      <c r="Q11" s="13">
        <v>1.6641407761192595</v>
      </c>
      <c r="R11" s="16">
        <v>21.799171276130853</v>
      </c>
      <c r="S11" s="16">
        <v>12.698931725313114</v>
      </c>
      <c r="T11" s="76">
        <v>393.66688348470655</v>
      </c>
      <c r="U11" s="17">
        <v>86.877471335751977</v>
      </c>
      <c r="V11" s="16">
        <v>27.743095968680564</v>
      </c>
      <c r="W11" s="16">
        <v>4.3344587384432183</v>
      </c>
    </row>
    <row r="12" spans="1:27" x14ac:dyDescent="0.25">
      <c r="A12" s="85">
        <v>37</v>
      </c>
      <c r="B12" s="86">
        <v>24.522813159942601</v>
      </c>
      <c r="C12" s="87">
        <v>611.55000000000007</v>
      </c>
      <c r="D12" s="87">
        <v>88.386034284585534</v>
      </c>
      <c r="E12" s="86">
        <v>38.0180119801473</v>
      </c>
      <c r="F12" s="87">
        <v>371.67032549180971</v>
      </c>
      <c r="G12" s="87">
        <v>155.88000000000005</v>
      </c>
      <c r="H12" s="87">
        <v>76.128829867830689</v>
      </c>
      <c r="I12" s="86">
        <v>7.189171470864359</v>
      </c>
      <c r="J12" s="87">
        <v>68.812231905758665</v>
      </c>
      <c r="K12" s="87">
        <v>455.67</v>
      </c>
      <c r="L12" s="87">
        <v>92.205814616051001</v>
      </c>
      <c r="M12" s="86">
        <v>30.828840509282941</v>
      </c>
      <c r="N12" s="87">
        <v>302.85809358605104</v>
      </c>
      <c r="O12" s="86">
        <v>2.1569109265965474</v>
      </c>
      <c r="P12" s="88">
        <v>1.5184614323292891</v>
      </c>
      <c r="Q12" s="88">
        <v>1.6654374685112057</v>
      </c>
      <c r="R12" s="86">
        <v>21.787885853645395</v>
      </c>
      <c r="S12" s="86">
        <v>14.174646247067342</v>
      </c>
      <c r="T12" s="89">
        <v>524.46191114149167</v>
      </c>
      <c r="U12" s="87">
        <v>83.552962456252388</v>
      </c>
      <c r="V12" s="86">
        <v>25.489330389992649</v>
      </c>
      <c r="W12" s="86">
        <v>5.033956585606461</v>
      </c>
    </row>
    <row r="13" spans="1:27" x14ac:dyDescent="0.25">
      <c r="A13" s="15">
        <v>43</v>
      </c>
      <c r="B13" s="16">
        <v>27.894935771942102</v>
      </c>
      <c r="C13" s="17">
        <v>453.96</v>
      </c>
      <c r="D13" s="17">
        <v>105.14728017563029</v>
      </c>
      <c r="E13" s="16">
        <v>39.939609103258675</v>
      </c>
      <c r="F13" s="17">
        <v>433.58540870792342</v>
      </c>
      <c r="G13" s="17">
        <v>107.55000000000001</v>
      </c>
      <c r="H13" s="17">
        <v>92.135209059577193</v>
      </c>
      <c r="I13" s="16">
        <v>7.2652707238538667</v>
      </c>
      <c r="J13" s="17">
        <v>78.030119036860185</v>
      </c>
      <c r="K13" s="17">
        <v>346.40999999999997</v>
      </c>
      <c r="L13" s="17">
        <v>108.87122834938636</v>
      </c>
      <c r="M13" s="16">
        <v>32.674338379404809</v>
      </c>
      <c r="N13" s="17">
        <v>355.55528967106324</v>
      </c>
      <c r="O13" s="16">
        <v>2.2111908003561638</v>
      </c>
      <c r="P13" s="13">
        <v>1.384961896692225</v>
      </c>
      <c r="Q13" s="13">
        <v>1.6449291843927991</v>
      </c>
      <c r="R13" s="16">
        <v>21.419794692882743</v>
      </c>
      <c r="S13" s="16">
        <v>15.236958750310794</v>
      </c>
      <c r="T13" s="76">
        <v>655.18922626336416</v>
      </c>
      <c r="U13" s="17">
        <v>80.493741663553465</v>
      </c>
      <c r="V13" s="16">
        <v>23.691514670896119</v>
      </c>
      <c r="W13" s="16">
        <v>5.773504037844857</v>
      </c>
      <c r="Y13" s="9"/>
      <c r="AA13" s="9"/>
    </row>
    <row r="14" spans="1:27" x14ac:dyDescent="0.25">
      <c r="A14" s="85">
        <v>49</v>
      </c>
      <c r="B14" s="86">
        <v>31.020072896957299</v>
      </c>
      <c r="C14" s="87">
        <v>345.24</v>
      </c>
      <c r="D14" s="87">
        <v>122.13837315152334</v>
      </c>
      <c r="E14" s="86">
        <v>40.984109759558159</v>
      </c>
      <c r="F14" s="87">
        <v>484.07405782835968</v>
      </c>
      <c r="G14" s="87">
        <v>72.360000000000014</v>
      </c>
      <c r="H14" s="87">
        <v>107.12592354565137</v>
      </c>
      <c r="I14" s="86">
        <v>6.6081189550954491</v>
      </c>
      <c r="J14" s="87">
        <v>77.33068900793188</v>
      </c>
      <c r="K14" s="87">
        <v>272.88</v>
      </c>
      <c r="L14" s="87">
        <v>125.81913382823286</v>
      </c>
      <c r="M14" s="86">
        <v>34.37599080446271</v>
      </c>
      <c r="N14" s="87">
        <v>406.7433688204278</v>
      </c>
      <c r="O14" s="86">
        <v>2.2562628027071008</v>
      </c>
      <c r="P14" s="88">
        <v>1.276047076851885</v>
      </c>
      <c r="Q14" s="88">
        <v>1.6130964552866061</v>
      </c>
      <c r="R14" s="86">
        <v>21.029037972260841</v>
      </c>
      <c r="S14" s="86">
        <v>15.99404070246246</v>
      </c>
      <c r="T14" s="89">
        <v>783.7079944206605</v>
      </c>
      <c r="U14" s="87">
        <v>77.454382462958364</v>
      </c>
      <c r="V14" s="86">
        <v>20.95933263816476</v>
      </c>
      <c r="W14" s="86">
        <v>6.505022917684701</v>
      </c>
      <c r="Y14" s="9"/>
    </row>
    <row r="15" spans="1:27" x14ac:dyDescent="0.25">
      <c r="A15" s="15">
        <v>55</v>
      </c>
      <c r="B15" s="16">
        <v>33.950079017639098</v>
      </c>
      <c r="C15" s="17">
        <v>271.98</v>
      </c>
      <c r="D15" s="17">
        <v>139.35671064447547</v>
      </c>
      <c r="E15" s="16">
        <v>42.03227326557402</v>
      </c>
      <c r="F15" s="17">
        <v>532.91759665399286</v>
      </c>
      <c r="G15" s="17">
        <v>50.759999999999991</v>
      </c>
      <c r="H15" s="17">
        <v>122.81770119780167</v>
      </c>
      <c r="I15" s="16">
        <v>6.0930350738949599</v>
      </c>
      <c r="J15" s="17">
        <v>76.794842329597714</v>
      </c>
      <c r="K15" s="17">
        <v>221.22000000000003</v>
      </c>
      <c r="L15" s="17">
        <v>142.88188514798929</v>
      </c>
      <c r="M15" s="16">
        <v>35.93923819167906</v>
      </c>
      <c r="N15" s="17">
        <v>456.12275432439515</v>
      </c>
      <c r="O15" s="16">
        <v>2.2784149104886495</v>
      </c>
      <c r="P15" s="13">
        <v>1.186388572212105</v>
      </c>
      <c r="Q15" s="13">
        <v>1.5763274321846366</v>
      </c>
      <c r="R15" s="16">
        <v>20.632425245135853</v>
      </c>
      <c r="S15" s="16">
        <v>16.543313131895012</v>
      </c>
      <c r="T15" s="76">
        <v>909.88222225422555</v>
      </c>
      <c r="U15" s="17">
        <v>74.647194583230842</v>
      </c>
      <c r="V15" s="16">
        <v>18.663136995367303</v>
      </c>
      <c r="W15" s="16">
        <v>7.2247444516851207</v>
      </c>
      <c r="Y15" s="9"/>
    </row>
    <row r="16" spans="1:27" x14ac:dyDescent="0.25">
      <c r="A16" s="85">
        <v>61</v>
      </c>
      <c r="B16" s="86">
        <v>36.681877277374198</v>
      </c>
      <c r="C16" s="87">
        <v>220.77</v>
      </c>
      <c r="D16" s="87">
        <v>156.55237461092119</v>
      </c>
      <c r="E16" s="86">
        <v>43.057569624951689</v>
      </c>
      <c r="F16" s="87">
        <v>579.91730579521027</v>
      </c>
      <c r="G16" s="87">
        <v>36</v>
      </c>
      <c r="H16" s="87">
        <v>141.2314093565586</v>
      </c>
      <c r="I16" s="86">
        <v>5.7141971825796887</v>
      </c>
      <c r="J16" s="87">
        <v>76.871023241425291</v>
      </c>
      <c r="K16" s="87">
        <v>184.77</v>
      </c>
      <c r="L16" s="87">
        <v>159.36610950866628</v>
      </c>
      <c r="M16" s="86">
        <v>37.343372442372001</v>
      </c>
      <c r="N16" s="87">
        <v>503.04628255378498</v>
      </c>
      <c r="O16" s="86">
        <v>2.2866317640840017</v>
      </c>
      <c r="P16" s="88">
        <v>1.1070272531970009</v>
      </c>
      <c r="Q16" s="88">
        <v>1.5379727902201252</v>
      </c>
      <c r="R16" s="86">
        <v>20.179077932866353</v>
      </c>
      <c r="S16" s="86">
        <v>16.945520880738371</v>
      </c>
      <c r="T16" s="89">
        <v>1033.6767737250407</v>
      </c>
      <c r="U16" s="87">
        <v>72.311181172565711</v>
      </c>
      <c r="V16" s="86">
        <v>16.306563391765184</v>
      </c>
      <c r="W16" s="86">
        <v>7.9053109038830058</v>
      </c>
      <c r="Y16" s="9"/>
    </row>
    <row r="17" spans="1:25" x14ac:dyDescent="0.25">
      <c r="A17" s="15">
        <v>67</v>
      </c>
      <c r="B17" s="16">
        <v>39.230791622161803</v>
      </c>
      <c r="C17" s="17">
        <v>184.5</v>
      </c>
      <c r="D17" s="17">
        <v>173.0859000931703</v>
      </c>
      <c r="E17" s="16">
        <v>43.985535961554007</v>
      </c>
      <c r="F17" s="17">
        <v>624.1207501509831</v>
      </c>
      <c r="G17" s="17">
        <v>27.449999999999989</v>
      </c>
      <c r="H17" s="17">
        <v>156.19473636096112</v>
      </c>
      <c r="I17" s="16">
        <v>5.3292399341648462</v>
      </c>
      <c r="J17" s="17">
        <v>75.602939629100433</v>
      </c>
      <c r="K17" s="17">
        <v>157.05000000000001</v>
      </c>
      <c r="L17" s="17">
        <v>175.87174830954984</v>
      </c>
      <c r="M17" s="16">
        <v>38.65629602738916</v>
      </c>
      <c r="N17" s="17">
        <v>548.51781052188267</v>
      </c>
      <c r="O17" s="16">
        <v>2.2897402255050801</v>
      </c>
      <c r="P17" s="13">
        <v>1.0415845729623452</v>
      </c>
      <c r="Q17" s="13">
        <v>1.4993806525762634</v>
      </c>
      <c r="R17" s="16">
        <v>19.783145442782409</v>
      </c>
      <c r="S17" s="16">
        <v>17.235093154063268</v>
      </c>
      <c r="T17" s="76">
        <v>1154.7512413222389</v>
      </c>
      <c r="U17" s="17">
        <v>70.07786522811476</v>
      </c>
      <c r="V17" s="16">
        <v>14.8780487804878</v>
      </c>
      <c r="W17" s="16">
        <v>8.5746364110447413</v>
      </c>
      <c r="Y17" s="9"/>
    </row>
    <row r="18" spans="1:25" x14ac:dyDescent="0.25">
      <c r="A18" s="85">
        <v>73</v>
      </c>
      <c r="B18" s="86">
        <v>41.625003406524598</v>
      </c>
      <c r="C18" s="87">
        <v>156.96</v>
      </c>
      <c r="D18" s="87">
        <v>189.61018966258032</v>
      </c>
      <c r="E18" s="86">
        <v>44.905803465163231</v>
      </c>
      <c r="F18" s="87">
        <v>667.21668317857711</v>
      </c>
      <c r="G18" s="87">
        <v>21.330000000000013</v>
      </c>
      <c r="H18" s="87">
        <v>172.12017803718027</v>
      </c>
      <c r="I18" s="86">
        <v>5.0285707481314788</v>
      </c>
      <c r="J18" s="87">
        <v>74.716154307371653</v>
      </c>
      <c r="K18" s="87">
        <v>135.63</v>
      </c>
      <c r="L18" s="87">
        <v>192.21600980618308</v>
      </c>
      <c r="M18" s="86">
        <v>39.877232717031752</v>
      </c>
      <c r="N18" s="87">
        <v>592.50052887120546</v>
      </c>
      <c r="O18" s="86">
        <v>2.2910877328395856</v>
      </c>
      <c r="P18" s="88">
        <v>0.98461279273513469</v>
      </c>
      <c r="Q18" s="88">
        <v>1.4617535775395027</v>
      </c>
      <c r="R18" s="86">
        <v>19.406313536961289</v>
      </c>
      <c r="S18" s="86">
        <v>17.444522109300454</v>
      </c>
      <c r="T18" s="89">
        <v>1273.4501139789331</v>
      </c>
      <c r="U18" s="87">
        <v>68.032212841919744</v>
      </c>
      <c r="V18" s="86">
        <v>13.589449541284411</v>
      </c>
      <c r="W18" s="86">
        <v>9.2269210219911901</v>
      </c>
      <c r="Y18" s="9"/>
    </row>
    <row r="19" spans="1:25" x14ac:dyDescent="0.25">
      <c r="A19" s="15">
        <v>79</v>
      </c>
      <c r="B19" s="16">
        <v>43.888304714202803</v>
      </c>
      <c r="C19" s="17">
        <v>135.63</v>
      </c>
      <c r="D19" s="17">
        <v>205.96253620322059</v>
      </c>
      <c r="E19" s="16">
        <v>45.784909473442561</v>
      </c>
      <c r="F19" s="17">
        <v>708.93841009297319</v>
      </c>
      <c r="G19" s="17">
        <v>17.009999999999977</v>
      </c>
      <c r="H19" s="17">
        <v>188.01276545491839</v>
      </c>
      <c r="I19" s="16">
        <v>4.7848587791193893</v>
      </c>
      <c r="J19" s="17">
        <v>74.256493705400658</v>
      </c>
      <c r="K19" s="17">
        <v>118.62000000000002</v>
      </c>
      <c r="L19" s="17">
        <v>208.40981544672692</v>
      </c>
      <c r="M19" s="16">
        <v>41.000050694323171</v>
      </c>
      <c r="N19" s="17">
        <v>634.68191638757253</v>
      </c>
      <c r="O19" s="16">
        <v>2.2973407683361273</v>
      </c>
      <c r="P19" s="13">
        <v>0.93379427669281512</v>
      </c>
      <c r="Q19" s="13">
        <v>1.4255150369214495</v>
      </c>
      <c r="R19" s="16">
        <v>19.035311603993097</v>
      </c>
      <c r="S19" s="16">
        <v>17.593518926591152</v>
      </c>
      <c r="T19" s="76">
        <v>1389.887995200701</v>
      </c>
      <c r="U19" s="17">
        <v>66.157716887328689</v>
      </c>
      <c r="V19" s="16">
        <v>12.541473125414715</v>
      </c>
      <c r="W19" s="16">
        <v>9.8663319775838882</v>
      </c>
      <c r="Y19" s="9"/>
    </row>
    <row r="20" spans="1:25" x14ac:dyDescent="0.25">
      <c r="A20" s="90">
        <v>85</v>
      </c>
      <c r="B20" s="91">
        <v>46.021225734710598</v>
      </c>
      <c r="C20" s="92">
        <v>118.62000000000002</v>
      </c>
      <c r="D20" s="92">
        <v>222.19386005674369</v>
      </c>
      <c r="E20" s="91">
        <v>46.602816354480062</v>
      </c>
      <c r="F20" s="92">
        <v>748.89378601153112</v>
      </c>
      <c r="G20" s="92">
        <v>118.62000000000002</v>
      </c>
      <c r="H20" s="92">
        <v>222.19386005674369</v>
      </c>
      <c r="I20" s="91">
        <v>46.602816354480062</v>
      </c>
      <c r="J20" s="92">
        <v>748.89378601153112</v>
      </c>
      <c r="K20" s="92" t="s">
        <v>27</v>
      </c>
      <c r="L20" s="92" t="s">
        <v>27</v>
      </c>
      <c r="M20" s="91" t="s">
        <v>27</v>
      </c>
      <c r="N20" s="92" t="s">
        <v>27</v>
      </c>
      <c r="O20" s="91" t="s">
        <v>27</v>
      </c>
      <c r="P20" s="93" t="s">
        <v>27</v>
      </c>
      <c r="Q20" s="93">
        <v>1.3908053361994284</v>
      </c>
      <c r="R20" s="91" t="s">
        <v>27</v>
      </c>
      <c r="S20" s="91">
        <v>17.695292527348936</v>
      </c>
      <c r="T20" s="94">
        <v>1504.0998648246596</v>
      </c>
      <c r="U20" s="92">
        <v>65.069279880389871</v>
      </c>
      <c r="V20" s="95" t="s">
        <v>27</v>
      </c>
      <c r="W20" s="96" t="s">
        <v>27</v>
      </c>
    </row>
    <row r="22" spans="1:25" x14ac:dyDescent="0.25">
      <c r="A22" s="5" t="s">
        <v>30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5" ht="15" customHeight="1" x14ac:dyDescent="0.25">
      <c r="A23" s="141" t="s">
        <v>1</v>
      </c>
      <c r="B23" s="141" t="s">
        <v>2</v>
      </c>
      <c r="C23" s="146" t="s">
        <v>31</v>
      </c>
      <c r="D23" s="155"/>
      <c r="E23" s="155"/>
      <c r="F23" s="155"/>
      <c r="G23" s="155"/>
      <c r="H23" s="155"/>
      <c r="I23" s="155"/>
      <c r="J23" s="147"/>
      <c r="K23" s="146" t="s">
        <v>109</v>
      </c>
      <c r="L23" s="147"/>
      <c r="M23" s="146" t="s">
        <v>32</v>
      </c>
      <c r="N23" s="155"/>
      <c r="O23" s="155"/>
      <c r="P23" s="155"/>
      <c r="Q23" s="155"/>
      <c r="R23" s="155"/>
      <c r="S23" s="155"/>
      <c r="T23" s="147"/>
      <c r="U23" s="146" t="s">
        <v>110</v>
      </c>
      <c r="V23" s="147"/>
      <c r="W23" s="143" t="s">
        <v>107</v>
      </c>
    </row>
    <row r="24" spans="1:25" x14ac:dyDescent="0.25">
      <c r="A24" s="145"/>
      <c r="B24" s="145"/>
      <c r="C24" s="82" t="s">
        <v>19</v>
      </c>
      <c r="D24" s="82" t="s">
        <v>20</v>
      </c>
      <c r="E24" s="82" t="s">
        <v>21</v>
      </c>
      <c r="F24" s="82" t="s">
        <v>22</v>
      </c>
      <c r="G24" s="82" t="s">
        <v>23</v>
      </c>
      <c r="H24" s="82" t="s">
        <v>24</v>
      </c>
      <c r="I24" s="82" t="s">
        <v>25</v>
      </c>
      <c r="J24" s="82" t="s">
        <v>26</v>
      </c>
      <c r="K24" s="98" t="s">
        <v>109</v>
      </c>
      <c r="L24" s="98" t="s">
        <v>106</v>
      </c>
      <c r="M24" s="82" t="s">
        <v>19</v>
      </c>
      <c r="N24" s="82" t="s">
        <v>20</v>
      </c>
      <c r="O24" s="82" t="s">
        <v>21</v>
      </c>
      <c r="P24" s="82" t="s">
        <v>22</v>
      </c>
      <c r="Q24" s="82" t="s">
        <v>23</v>
      </c>
      <c r="R24" s="82" t="s">
        <v>24</v>
      </c>
      <c r="S24" s="82" t="s">
        <v>25</v>
      </c>
      <c r="T24" s="82" t="s">
        <v>26</v>
      </c>
      <c r="U24" s="98" t="s">
        <v>110</v>
      </c>
      <c r="V24" s="98" t="s">
        <v>106</v>
      </c>
      <c r="W24" s="144"/>
    </row>
    <row r="25" spans="1:25" s="78" customFormat="1" ht="12" x14ac:dyDescent="0.2">
      <c r="A25" s="81" t="s">
        <v>60</v>
      </c>
      <c r="B25" s="81" t="s">
        <v>58</v>
      </c>
      <c r="C25" s="81" t="s">
        <v>57</v>
      </c>
      <c r="D25" s="81" t="s">
        <v>57</v>
      </c>
      <c r="E25" s="81" t="s">
        <v>57</v>
      </c>
      <c r="F25" s="81" t="s">
        <v>57</v>
      </c>
      <c r="G25" s="81" t="s">
        <v>57</v>
      </c>
      <c r="H25" s="81" t="s">
        <v>57</v>
      </c>
      <c r="I25" s="81" t="s">
        <v>57</v>
      </c>
      <c r="J25" s="81" t="s">
        <v>57</v>
      </c>
      <c r="K25" s="81" t="s">
        <v>64</v>
      </c>
      <c r="L25" s="81" t="s">
        <v>64</v>
      </c>
      <c r="M25" s="81" t="s">
        <v>57</v>
      </c>
      <c r="N25" s="81" t="s">
        <v>57</v>
      </c>
      <c r="O25" s="81" t="s">
        <v>57</v>
      </c>
      <c r="P25" s="81" t="s">
        <v>57</v>
      </c>
      <c r="Q25" s="81" t="s">
        <v>57</v>
      </c>
      <c r="R25" s="81" t="s">
        <v>57</v>
      </c>
      <c r="S25" s="81" t="s">
        <v>57</v>
      </c>
      <c r="T25" s="81" t="s">
        <v>57</v>
      </c>
      <c r="U25" s="81" t="s">
        <v>64</v>
      </c>
      <c r="V25" s="81" t="s">
        <v>64</v>
      </c>
      <c r="W25" s="81" t="s">
        <v>64</v>
      </c>
    </row>
    <row r="26" spans="1:25" x14ac:dyDescent="0.25">
      <c r="A26" s="72">
        <v>19</v>
      </c>
      <c r="B26" s="16">
        <v>13.081725549697801</v>
      </c>
      <c r="C26" s="17">
        <v>41.630486379928918</v>
      </c>
      <c r="D26" s="17">
        <v>87.41779285253898</v>
      </c>
      <c r="E26" s="17">
        <v>19.077660711572264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76">
        <v>1864.1557961089652</v>
      </c>
      <c r="L26" s="76">
        <v>1279.6138794531346</v>
      </c>
      <c r="M26" s="17">
        <v>19.078480154113826</v>
      </c>
      <c r="N26" s="17">
        <v>24.854966689934106</v>
      </c>
      <c r="O26" s="17">
        <v>5.3232874322836068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76">
        <v>513.4259682761591</v>
      </c>
      <c r="V26" s="76">
        <v>352.43137748956423</v>
      </c>
      <c r="W26" s="76">
        <v>1279.6138794531346</v>
      </c>
    </row>
    <row r="27" spans="1:25" x14ac:dyDescent="0.25">
      <c r="A27" s="97">
        <v>25</v>
      </c>
      <c r="B27" s="86">
        <v>17.078585311889601</v>
      </c>
      <c r="C27" s="87">
        <v>11.547049399315565</v>
      </c>
      <c r="D27" s="87">
        <v>82.631683558618164</v>
      </c>
      <c r="E27" s="87">
        <v>55.585816205876782</v>
      </c>
      <c r="F27" s="87">
        <v>66.672174024967333</v>
      </c>
      <c r="G27" s="87">
        <v>0</v>
      </c>
      <c r="H27" s="87">
        <v>0</v>
      </c>
      <c r="I27" s="87">
        <v>0</v>
      </c>
      <c r="J27" s="87">
        <v>0</v>
      </c>
      <c r="K27" s="89">
        <v>5280.223124295333</v>
      </c>
      <c r="L27" s="89">
        <v>3218.4589975352856</v>
      </c>
      <c r="M27" s="87">
        <v>6.5618400930236245</v>
      </c>
      <c r="N27" s="87">
        <v>21.462540533455183</v>
      </c>
      <c r="O27" s="87">
        <v>7.4234353200751446</v>
      </c>
      <c r="P27" s="87">
        <v>8.6630402317063684</v>
      </c>
      <c r="Q27" s="87">
        <v>0</v>
      </c>
      <c r="R27" s="87">
        <v>0</v>
      </c>
      <c r="S27" s="87">
        <v>0</v>
      </c>
      <c r="T27" s="87">
        <v>0</v>
      </c>
      <c r="U27" s="89">
        <v>782.25099025726138</v>
      </c>
      <c r="V27" s="89">
        <v>476.80612706311706</v>
      </c>
      <c r="W27" s="89">
        <v>3570.8903750248496</v>
      </c>
    </row>
    <row r="28" spans="1:25" x14ac:dyDescent="0.25">
      <c r="A28" s="72">
        <v>31</v>
      </c>
      <c r="B28" s="16">
        <v>20.918307731628399</v>
      </c>
      <c r="C28" s="17">
        <v>2.9851672373292719</v>
      </c>
      <c r="D28" s="17">
        <v>37.853899658900168</v>
      </c>
      <c r="E28" s="17">
        <v>51.229649824891254</v>
      </c>
      <c r="F28" s="17">
        <v>130.69309383788811</v>
      </c>
      <c r="G28" s="17">
        <v>76.593870537324165</v>
      </c>
      <c r="H28" s="17">
        <v>0</v>
      </c>
      <c r="I28" s="17">
        <v>0</v>
      </c>
      <c r="J28" s="17">
        <v>0</v>
      </c>
      <c r="K28" s="76">
        <v>11177.143584856922</v>
      </c>
      <c r="L28" s="76">
        <v>6049.5839168118455</v>
      </c>
      <c r="M28" s="17">
        <v>2.1603196297573373</v>
      </c>
      <c r="N28" s="17">
        <v>17.348027685305738</v>
      </c>
      <c r="O28" s="17">
        <v>12.318741099347717</v>
      </c>
      <c r="P28" s="17">
        <v>16.713623593821215</v>
      </c>
      <c r="Q28" s="17">
        <v>9.9396712530762681</v>
      </c>
      <c r="R28" s="17">
        <v>0</v>
      </c>
      <c r="S28" s="17">
        <v>0</v>
      </c>
      <c r="T28" s="17">
        <v>0</v>
      </c>
      <c r="U28" s="76">
        <v>1595.0448743972011</v>
      </c>
      <c r="V28" s="76">
        <v>863.31160957972065</v>
      </c>
      <c r="W28" s="76">
        <v>6878.8214213645269</v>
      </c>
    </row>
    <row r="29" spans="1:25" x14ac:dyDescent="0.25">
      <c r="A29" s="97">
        <v>37</v>
      </c>
      <c r="B29" s="86">
        <v>24.522813159942601</v>
      </c>
      <c r="C29" s="87">
        <v>0.41794445553550891</v>
      </c>
      <c r="D29" s="87">
        <v>12.584022763652495</v>
      </c>
      <c r="E29" s="87">
        <v>22.091752496116229</v>
      </c>
      <c r="F29" s="87">
        <v>117.97532158799532</v>
      </c>
      <c r="G29" s="87">
        <v>189.49068241320853</v>
      </c>
      <c r="H29" s="87">
        <v>28.661461314516295</v>
      </c>
      <c r="I29" s="87">
        <v>0</v>
      </c>
      <c r="J29" s="87">
        <v>0</v>
      </c>
      <c r="K29" s="89">
        <v>17374.205287617489</v>
      </c>
      <c r="L29" s="89">
        <v>8350.2329911398083</v>
      </c>
      <c r="M29" s="87">
        <v>0.35619379459251971</v>
      </c>
      <c r="N29" s="87">
        <v>7.8969847885848434</v>
      </c>
      <c r="O29" s="87">
        <v>8.8084812545756641</v>
      </c>
      <c r="P29" s="87">
        <v>26.048542680844314</v>
      </c>
      <c r="Q29" s="87">
        <v>22.614579883723305</v>
      </c>
      <c r="R29" s="87">
        <v>2.638309042652871</v>
      </c>
      <c r="S29" s="87">
        <v>0</v>
      </c>
      <c r="T29" s="87">
        <v>0</v>
      </c>
      <c r="U29" s="89">
        <v>2504.0470522316232</v>
      </c>
      <c r="V29" s="89">
        <v>1203.4723868384874</v>
      </c>
      <c r="W29" s="89">
        <v>10042.78210527221</v>
      </c>
    </row>
    <row r="30" spans="1:25" x14ac:dyDescent="0.25">
      <c r="A30" s="72">
        <v>43</v>
      </c>
      <c r="B30" s="16">
        <v>27.894935771942102</v>
      </c>
      <c r="C30" s="17">
        <v>0</v>
      </c>
      <c r="D30" s="17">
        <v>3.2351592649536203</v>
      </c>
      <c r="E30" s="17">
        <v>6.1196782280956139</v>
      </c>
      <c r="F30" s="17">
        <v>54.700968810176661</v>
      </c>
      <c r="G30" s="17">
        <v>225.16725170140626</v>
      </c>
      <c r="H30" s="17">
        <v>143.73365476584908</v>
      </c>
      <c r="I30" s="17">
        <v>0</v>
      </c>
      <c r="J30" s="17">
        <v>0</v>
      </c>
      <c r="K30" s="76">
        <v>23701.991217807077</v>
      </c>
      <c r="L30" s="76">
        <v>10115.269243493714</v>
      </c>
      <c r="M30" s="17">
        <v>0</v>
      </c>
      <c r="N30" s="17">
        <v>2.5954329222939263</v>
      </c>
      <c r="O30" s="17">
        <v>3.8182607866426532</v>
      </c>
      <c r="P30" s="17">
        <v>21.744920056087011</v>
      </c>
      <c r="Q30" s="17">
        <v>31.562383196457656</v>
      </c>
      <c r="R30" s="17">
        <v>17.680426137936376</v>
      </c>
      <c r="S30" s="17">
        <v>0</v>
      </c>
      <c r="T30" s="17">
        <v>0</v>
      </c>
      <c r="U30" s="76">
        <v>3492.5293349781691</v>
      </c>
      <c r="V30" s="76">
        <v>1490.5023902617404</v>
      </c>
      <c r="W30" s="76">
        <v>13011.290744464604</v>
      </c>
    </row>
    <row r="31" spans="1:25" x14ac:dyDescent="0.25">
      <c r="A31" s="97">
        <v>49</v>
      </c>
      <c r="B31" s="86">
        <v>31.020072896957299</v>
      </c>
      <c r="C31" s="87">
        <v>0</v>
      </c>
      <c r="D31" s="87">
        <v>0.28880344751784293</v>
      </c>
      <c r="E31" s="87">
        <v>1.3066886302809995</v>
      </c>
      <c r="F31" s="87">
        <v>18.60898836696559</v>
      </c>
      <c r="G31" s="87">
        <v>164.04182665652138</v>
      </c>
      <c r="H31" s="87">
        <v>233.40374599357554</v>
      </c>
      <c r="I31" s="87">
        <v>65.90357557966837</v>
      </c>
      <c r="J31" s="87">
        <v>0</v>
      </c>
      <c r="K31" s="89">
        <v>29854.181517257763</v>
      </c>
      <c r="L31" s="89">
        <v>11313.494048375482</v>
      </c>
      <c r="M31" s="87">
        <v>0</v>
      </c>
      <c r="N31" s="87">
        <v>0.26285173064667405</v>
      </c>
      <c r="O31" s="87">
        <v>1.0459603560289807</v>
      </c>
      <c r="P31" s="87">
        <v>9.929239534625891</v>
      </c>
      <c r="Q31" s="87">
        <v>39.200188560378997</v>
      </c>
      <c r="R31" s="87">
        <v>21.62248521333505</v>
      </c>
      <c r="S31" s="87">
        <v>4.7495344590872133</v>
      </c>
      <c r="T31" s="87">
        <v>0</v>
      </c>
      <c r="U31" s="89">
        <v>3890.8602928810969</v>
      </c>
      <c r="V31" s="89">
        <v>1474.4743459513249</v>
      </c>
      <c r="W31" s="89">
        <v>15700.017939608111</v>
      </c>
    </row>
    <row r="32" spans="1:25" x14ac:dyDescent="0.25">
      <c r="A32" s="72">
        <v>55</v>
      </c>
      <c r="B32" s="16">
        <v>33.950079017639098</v>
      </c>
      <c r="C32" s="17">
        <v>0</v>
      </c>
      <c r="D32" s="17">
        <v>0</v>
      </c>
      <c r="E32" s="17">
        <v>0</v>
      </c>
      <c r="F32" s="17">
        <v>3.2279918508138432</v>
      </c>
      <c r="G32" s="17">
        <v>68.269614884060417</v>
      </c>
      <c r="H32" s="17">
        <v>258.05236950998835</v>
      </c>
      <c r="I32" s="17">
        <v>198.12748495541337</v>
      </c>
      <c r="J32" s="17">
        <v>4.6772153010060036</v>
      </c>
      <c r="K32" s="76">
        <v>36386.247375175051</v>
      </c>
      <c r="L32" s="76">
        <v>12244.12686704208</v>
      </c>
      <c r="M32" s="17">
        <v>0</v>
      </c>
      <c r="N32" s="17">
        <v>0</v>
      </c>
      <c r="O32" s="17">
        <v>0</v>
      </c>
      <c r="P32" s="17">
        <v>2.4229045846668189</v>
      </c>
      <c r="Q32" s="17">
        <v>27.703353408868729</v>
      </c>
      <c r="R32" s="17">
        <v>30.382233076221482</v>
      </c>
      <c r="S32" s="17">
        <v>15.412622625269368</v>
      </c>
      <c r="T32" s="17">
        <v>0.31080848186091597</v>
      </c>
      <c r="U32" s="76">
        <v>4332.6734345326449</v>
      </c>
      <c r="V32" s="76">
        <v>1457.9630226466963</v>
      </c>
      <c r="W32" s="76">
        <v>18105.125104226034</v>
      </c>
    </row>
    <row r="33" spans="1:25" x14ac:dyDescent="0.25">
      <c r="A33" s="97">
        <v>61</v>
      </c>
      <c r="B33" s="86">
        <v>36.681877277374198</v>
      </c>
      <c r="C33" s="87">
        <v>0</v>
      </c>
      <c r="D33" s="87">
        <v>0</v>
      </c>
      <c r="E33" s="87">
        <v>0</v>
      </c>
      <c r="F33" s="87">
        <v>0</v>
      </c>
      <c r="G33" s="87">
        <v>18.04096696874344</v>
      </c>
      <c r="H33" s="87">
        <v>181.53380252052801</v>
      </c>
      <c r="I33" s="87">
        <v>275.40509983700309</v>
      </c>
      <c r="J33" s="87">
        <v>104.30450110993722</v>
      </c>
      <c r="K33" s="89">
        <v>43022.022897543196</v>
      </c>
      <c r="L33" s="89">
        <v>12855.244751340428</v>
      </c>
      <c r="M33" s="87">
        <v>0</v>
      </c>
      <c r="N33" s="87">
        <v>0</v>
      </c>
      <c r="O33" s="87">
        <v>0</v>
      </c>
      <c r="P33" s="87">
        <v>0</v>
      </c>
      <c r="Q33" s="87">
        <v>9.2553703476175802</v>
      </c>
      <c r="R33" s="87">
        <v>39.696966093662908</v>
      </c>
      <c r="S33" s="87">
        <v>18.9851104082205</v>
      </c>
      <c r="T33" s="87">
        <v>8.3006410329274143</v>
      </c>
      <c r="U33" s="89">
        <v>4793.7054657589288</v>
      </c>
      <c r="V33" s="89">
        <v>1432.3886437169019</v>
      </c>
      <c r="W33" s="89">
        <v>20174.206011171078</v>
      </c>
    </row>
    <row r="34" spans="1:25" x14ac:dyDescent="0.25">
      <c r="A34" s="72">
        <v>67</v>
      </c>
      <c r="B34" s="16">
        <v>39.230791622161803</v>
      </c>
      <c r="C34" s="17">
        <v>0</v>
      </c>
      <c r="D34" s="17">
        <v>0</v>
      </c>
      <c r="E34" s="17">
        <v>0</v>
      </c>
      <c r="F34" s="17">
        <v>0</v>
      </c>
      <c r="G34" s="17">
        <v>2.998902654955022</v>
      </c>
      <c r="H34" s="17">
        <v>72.245887309375775</v>
      </c>
      <c r="I34" s="17">
        <v>289.87073091692878</v>
      </c>
      <c r="J34" s="17">
        <v>258.381747200902</v>
      </c>
      <c r="K34" s="76">
        <v>49272.011455620632</v>
      </c>
      <c r="L34" s="76">
        <v>13073.407066332824</v>
      </c>
      <c r="M34" s="17">
        <v>0</v>
      </c>
      <c r="N34" s="17">
        <v>0</v>
      </c>
      <c r="O34" s="17">
        <v>0</v>
      </c>
      <c r="P34" s="17">
        <v>0</v>
      </c>
      <c r="Q34" s="17">
        <v>2.0767302430551231</v>
      </c>
      <c r="R34" s="17">
        <v>27.612248946240996</v>
      </c>
      <c r="S34" s="17">
        <v>30.141714724474209</v>
      </c>
      <c r="T34" s="17">
        <v>15.148763646508339</v>
      </c>
      <c r="U34" s="76">
        <v>5039.3288366371726</v>
      </c>
      <c r="V34" s="76">
        <v>1337.0916931574118</v>
      </c>
      <c r="W34" s="76">
        <v>21824.756969880378</v>
      </c>
    </row>
    <row r="35" spans="1:25" x14ac:dyDescent="0.25">
      <c r="A35" s="97">
        <v>73</v>
      </c>
      <c r="B35" s="86">
        <v>41.625003406524598</v>
      </c>
      <c r="C35" s="87">
        <v>0</v>
      </c>
      <c r="D35" s="87">
        <v>0</v>
      </c>
      <c r="E35" s="87">
        <v>0</v>
      </c>
      <c r="F35" s="87">
        <v>0</v>
      </c>
      <c r="G35" s="87">
        <v>0</v>
      </c>
      <c r="H35" s="87">
        <v>18.423076938861147</v>
      </c>
      <c r="I35" s="87">
        <v>197.11384424389814</v>
      </c>
      <c r="J35" s="87">
        <v>451.11996030918675</v>
      </c>
      <c r="K35" s="89">
        <v>54851.665701103113</v>
      </c>
      <c r="L35" s="89">
        <v>12923.414736652101</v>
      </c>
      <c r="M35" s="87">
        <v>0</v>
      </c>
      <c r="N35" s="87">
        <v>0</v>
      </c>
      <c r="O35" s="87">
        <v>0</v>
      </c>
      <c r="P35" s="87">
        <v>0</v>
      </c>
      <c r="Q35" s="87">
        <v>0</v>
      </c>
      <c r="R35" s="87">
        <v>8.8009326482255066</v>
      </c>
      <c r="S35" s="87">
        <v>39.402696894461215</v>
      </c>
      <c r="T35" s="87">
        <v>25.952723078053335</v>
      </c>
      <c r="U35" s="89">
        <v>5297.5807800549419</v>
      </c>
      <c r="V35" s="89">
        <v>1248.1450225164288</v>
      </c>
      <c r="W35" s="89">
        <v>23011.856333357064</v>
      </c>
    </row>
    <row r="36" spans="1:25" x14ac:dyDescent="0.25">
      <c r="A36" s="72">
        <v>79</v>
      </c>
      <c r="B36" s="16">
        <v>43.888304714202803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1.5610111067426629</v>
      </c>
      <c r="I36" s="17">
        <v>72.750979154119477</v>
      </c>
      <c r="J36" s="17">
        <v>633.97798266761413</v>
      </c>
      <c r="K36" s="76">
        <v>59751.475150326427</v>
      </c>
      <c r="L36" s="76">
        <v>12500.72100215295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0.89292387176709964</v>
      </c>
      <c r="S36" s="17">
        <v>28.452245574634453</v>
      </c>
      <c r="T36" s="17">
        <v>44.262887094503526</v>
      </c>
      <c r="U36" s="76">
        <v>5475.6063723544612</v>
      </c>
      <c r="V36" s="76">
        <v>1145.5621372728569</v>
      </c>
      <c r="W36" s="76">
        <v>23837.307621374341</v>
      </c>
    </row>
    <row r="37" spans="1:25" x14ac:dyDescent="0.25">
      <c r="A37" s="97">
        <v>85</v>
      </c>
      <c r="B37" s="91">
        <v>46.021225734710598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0.2452510599655599</v>
      </c>
      <c r="I37" s="92">
        <v>14.788153843136639</v>
      </c>
      <c r="J37" s="92">
        <v>733.8603811084281</v>
      </c>
      <c r="K37" s="94">
        <v>63716.471905372833</v>
      </c>
      <c r="L37" s="94">
        <v>11836.876607555698</v>
      </c>
      <c r="M37" s="92">
        <v>0</v>
      </c>
      <c r="N37" s="92">
        <v>0</v>
      </c>
      <c r="O37" s="92">
        <v>0</v>
      </c>
      <c r="P37" s="92">
        <v>0</v>
      </c>
      <c r="Q37" s="92">
        <v>0</v>
      </c>
      <c r="R37" s="92">
        <v>0.2452510599655599</v>
      </c>
      <c r="S37" s="92">
        <v>14.788153843136639</v>
      </c>
      <c r="T37" s="92">
        <v>733.8603811084281</v>
      </c>
      <c r="U37" s="94">
        <v>63716.471905372833</v>
      </c>
      <c r="V37" s="94">
        <v>11836.876607555698</v>
      </c>
      <c r="W37" s="94">
        <v>24319.025364049947</v>
      </c>
    </row>
    <row r="38" spans="1:25" s="6" customFormat="1" x14ac:dyDescent="0.25">
      <c r="A38" s="18" t="s">
        <v>13</v>
      </c>
      <c r="B38" s="19" t="s">
        <v>27</v>
      </c>
      <c r="C38" s="19" t="s">
        <v>27</v>
      </c>
      <c r="D38" s="19" t="s">
        <v>27</v>
      </c>
      <c r="E38" s="19" t="s">
        <v>27</v>
      </c>
      <c r="F38" s="19" t="s">
        <v>27</v>
      </c>
      <c r="G38" s="19" t="s">
        <v>27</v>
      </c>
      <c r="H38" s="19" t="s">
        <v>27</v>
      </c>
      <c r="I38" s="19" t="s">
        <v>27</v>
      </c>
      <c r="J38" s="19" t="s">
        <v>27</v>
      </c>
      <c r="K38" s="19" t="s">
        <v>27</v>
      </c>
      <c r="L38" s="19" t="s">
        <v>27</v>
      </c>
      <c r="M38" s="18">
        <v>28.156833671487313</v>
      </c>
      <c r="N38" s="18">
        <v>74.420804350220465</v>
      </c>
      <c r="O38" s="18">
        <v>38.738166248953767</v>
      </c>
      <c r="P38" s="18">
        <v>85.522270681751621</v>
      </c>
      <c r="Q38" s="18">
        <v>142.35227689317765</v>
      </c>
      <c r="R38" s="18">
        <v>149.57177609000786</v>
      </c>
      <c r="S38" s="18">
        <v>151.93207852928359</v>
      </c>
      <c r="T38" s="18">
        <v>827.83620444228166</v>
      </c>
      <c r="U38" s="19" t="s">
        <v>27</v>
      </c>
      <c r="V38" s="77">
        <v>24319.025364049947</v>
      </c>
      <c r="W38" s="20" t="s">
        <v>27</v>
      </c>
    </row>
    <row r="39" spans="1:25" x14ac:dyDescent="0.25">
      <c r="A39"/>
      <c r="V39" s="2"/>
    </row>
    <row r="40" spans="1:25" x14ac:dyDescent="0.25">
      <c r="H40" s="8"/>
      <c r="I40" s="8"/>
      <c r="J40" s="8"/>
      <c r="W40" s="8" t="s">
        <v>75</v>
      </c>
    </row>
    <row r="41" spans="1:25" x14ac:dyDescent="0.25">
      <c r="V41" s="2"/>
      <c r="W41" s="8" t="s">
        <v>76</v>
      </c>
      <c r="X41" s="2"/>
      <c r="Y41" s="2"/>
    </row>
    <row r="42" spans="1: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V42" s="2"/>
      <c r="W42" s="8"/>
      <c r="X42" s="2"/>
      <c r="Y42" s="8"/>
    </row>
    <row r="43" spans="1:25" x14ac:dyDescent="0.25">
      <c r="V43" s="2"/>
      <c r="W43" s="2"/>
      <c r="X43" s="2"/>
      <c r="Y43" s="2"/>
    </row>
    <row r="44" spans="1:25" x14ac:dyDescent="0.25"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V45" s="2"/>
      <c r="W45" s="2"/>
      <c r="X45" s="2"/>
      <c r="Y45" s="2"/>
    </row>
    <row r="46" spans="1:25" x14ac:dyDescent="0.25">
      <c r="V46" s="2"/>
      <c r="W46" s="2"/>
      <c r="X46" s="2"/>
      <c r="Y46" s="2"/>
    </row>
  </sheetData>
  <mergeCells count="17">
    <mergeCell ref="D1:T1"/>
    <mergeCell ref="K6:N6"/>
    <mergeCell ref="V6:V7"/>
    <mergeCell ref="W6:W7"/>
    <mergeCell ref="U6:U7"/>
    <mergeCell ref="U23:V23"/>
    <mergeCell ref="W23:W24"/>
    <mergeCell ref="A23:A24"/>
    <mergeCell ref="A6:A7"/>
    <mergeCell ref="B6:B7"/>
    <mergeCell ref="C6:F6"/>
    <mergeCell ref="G6:J6"/>
    <mergeCell ref="B23:B24"/>
    <mergeCell ref="K23:L23"/>
    <mergeCell ref="C23:J23"/>
    <mergeCell ref="M23:T23"/>
    <mergeCell ref="O6:T6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A46"/>
  <sheetViews>
    <sheetView workbookViewId="0">
      <selection activeCell="Y18" sqref="Y18"/>
    </sheetView>
  </sheetViews>
  <sheetFormatPr defaultColWidth="11.42578125" defaultRowHeight="15" x14ac:dyDescent="0.25"/>
  <cols>
    <col min="1" max="21" width="6.7109375" style="2" customWidth="1"/>
    <col min="22" max="23" width="6.7109375" customWidth="1"/>
  </cols>
  <sheetData>
    <row r="1" spans="1:27" ht="30.75" customHeight="1" x14ac:dyDescent="0.4">
      <c r="D1" s="135" t="s">
        <v>74</v>
      </c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</row>
    <row r="2" spans="1:27" x14ac:dyDescent="0.25">
      <c r="A2" s="5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U2" s="8"/>
      <c r="V2" s="8"/>
      <c r="W2" s="8"/>
    </row>
    <row r="3" spans="1:27" x14ac:dyDescent="0.25">
      <c r="A3" s="5" t="s">
        <v>78</v>
      </c>
      <c r="B3" s="5"/>
      <c r="C3" s="5"/>
      <c r="D3" s="7"/>
      <c r="E3" s="7" t="s">
        <v>79</v>
      </c>
      <c r="F3" s="7"/>
      <c r="G3" s="7"/>
      <c r="H3" s="7"/>
      <c r="I3" s="7"/>
      <c r="J3" s="7"/>
      <c r="K3" s="7" t="s">
        <v>84</v>
      </c>
      <c r="L3" s="7"/>
      <c r="M3" s="7"/>
      <c r="N3" s="7"/>
      <c r="R3" s="7" t="s">
        <v>82</v>
      </c>
      <c r="V3" s="2"/>
      <c r="W3" s="2"/>
    </row>
    <row r="4" spans="1:27" x14ac:dyDescent="0.25">
      <c r="A4" s="7"/>
      <c r="B4" s="7"/>
      <c r="C4" s="7"/>
      <c r="D4" s="7"/>
      <c r="E4" s="7" t="s">
        <v>34</v>
      </c>
      <c r="F4" s="7"/>
      <c r="G4" s="7"/>
      <c r="H4" s="7"/>
      <c r="I4" s="7"/>
      <c r="J4" s="7"/>
      <c r="K4" s="7" t="s">
        <v>85</v>
      </c>
      <c r="L4" s="7"/>
      <c r="M4" s="7"/>
      <c r="N4" s="7"/>
      <c r="O4" s="1"/>
      <c r="P4" s="1"/>
      <c r="Q4" s="1"/>
      <c r="R4" s="7" t="s">
        <v>81</v>
      </c>
      <c r="S4" s="1"/>
      <c r="T4" s="1"/>
      <c r="U4" s="1"/>
      <c r="V4" s="1"/>
      <c r="W4" s="7"/>
    </row>
    <row r="5" spans="1:27" x14ac:dyDescent="0.25">
      <c r="A5" s="5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7" x14ac:dyDescent="0.25">
      <c r="A6" s="151" t="s">
        <v>1</v>
      </c>
      <c r="B6" s="151" t="s">
        <v>2</v>
      </c>
      <c r="C6" s="153" t="s">
        <v>104</v>
      </c>
      <c r="D6" s="154"/>
      <c r="E6" s="154"/>
      <c r="F6" s="154"/>
      <c r="G6" s="154" t="s">
        <v>102</v>
      </c>
      <c r="H6" s="154"/>
      <c r="I6" s="154"/>
      <c r="J6" s="154"/>
      <c r="K6" s="154" t="s">
        <v>103</v>
      </c>
      <c r="L6" s="154"/>
      <c r="M6" s="154"/>
      <c r="N6" s="154"/>
      <c r="O6" s="148" t="s">
        <v>3</v>
      </c>
      <c r="P6" s="149"/>
      <c r="Q6" s="149"/>
      <c r="R6" s="149"/>
      <c r="S6" s="149"/>
      <c r="T6" s="150"/>
      <c r="U6" s="141" t="s">
        <v>14</v>
      </c>
      <c r="V6" s="143" t="s">
        <v>63</v>
      </c>
      <c r="W6" s="141" t="s">
        <v>29</v>
      </c>
    </row>
    <row r="7" spans="1:27" x14ac:dyDescent="0.25">
      <c r="A7" s="152"/>
      <c r="B7" s="152"/>
      <c r="C7" s="74" t="s">
        <v>4</v>
      </c>
      <c r="D7" s="74" t="s">
        <v>5</v>
      </c>
      <c r="E7" s="74" t="s">
        <v>6</v>
      </c>
      <c r="F7" s="74" t="s">
        <v>7</v>
      </c>
      <c r="G7" s="74" t="s">
        <v>4</v>
      </c>
      <c r="H7" s="74" t="s">
        <v>5</v>
      </c>
      <c r="I7" s="74" t="s">
        <v>6</v>
      </c>
      <c r="J7" s="74" t="s">
        <v>7</v>
      </c>
      <c r="K7" s="74" t="s">
        <v>4</v>
      </c>
      <c r="L7" s="74" t="s">
        <v>5</v>
      </c>
      <c r="M7" s="74" t="s">
        <v>6</v>
      </c>
      <c r="N7" s="74" t="s">
        <v>7</v>
      </c>
      <c r="O7" s="73" t="s">
        <v>16</v>
      </c>
      <c r="P7" s="74" t="s">
        <v>8</v>
      </c>
      <c r="Q7" s="74" t="s">
        <v>9</v>
      </c>
      <c r="R7" s="74" t="s">
        <v>10</v>
      </c>
      <c r="S7" s="74" t="s">
        <v>11</v>
      </c>
      <c r="T7" s="74" t="s">
        <v>12</v>
      </c>
      <c r="U7" s="142"/>
      <c r="V7" s="144"/>
      <c r="W7" s="145"/>
    </row>
    <row r="8" spans="1:27" s="78" customFormat="1" ht="12" customHeight="1" x14ac:dyDescent="0.2">
      <c r="A8" s="81" t="s">
        <v>60</v>
      </c>
      <c r="B8" s="81" t="s">
        <v>58</v>
      </c>
      <c r="C8" s="81" t="s">
        <v>59</v>
      </c>
      <c r="D8" s="81" t="s">
        <v>54</v>
      </c>
      <c r="E8" s="81" t="s">
        <v>53</v>
      </c>
      <c r="F8" s="81" t="s">
        <v>57</v>
      </c>
      <c r="G8" s="81" t="s">
        <v>59</v>
      </c>
      <c r="H8" s="81" t="s">
        <v>54</v>
      </c>
      <c r="I8" s="81" t="s">
        <v>53</v>
      </c>
      <c r="J8" s="81" t="s">
        <v>57</v>
      </c>
      <c r="K8" s="81" t="s">
        <v>59</v>
      </c>
      <c r="L8" s="81" t="s">
        <v>54</v>
      </c>
      <c r="M8" s="81" t="s">
        <v>53</v>
      </c>
      <c r="N8" s="81" t="s">
        <v>57</v>
      </c>
      <c r="O8" s="81" t="s">
        <v>55</v>
      </c>
      <c r="P8" s="81" t="s">
        <v>52</v>
      </c>
      <c r="Q8" s="81" t="s">
        <v>52</v>
      </c>
      <c r="R8" s="81" t="s">
        <v>56</v>
      </c>
      <c r="S8" s="81" t="s">
        <v>56</v>
      </c>
      <c r="T8" s="81" t="s">
        <v>57</v>
      </c>
      <c r="U8" s="79"/>
      <c r="V8" s="80" t="s">
        <v>62</v>
      </c>
      <c r="W8" s="81" t="s">
        <v>58</v>
      </c>
    </row>
    <row r="9" spans="1:27" x14ac:dyDescent="0.25">
      <c r="A9" s="14">
        <v>23</v>
      </c>
      <c r="B9" s="11">
        <v>13.483332875251699</v>
      </c>
      <c r="C9" s="10">
        <v>2011.1499999999999</v>
      </c>
      <c r="D9" s="10">
        <v>42.945044830480768</v>
      </c>
      <c r="E9" s="11">
        <v>29.516218739462104</v>
      </c>
      <c r="F9" s="10">
        <v>159.4956452133311</v>
      </c>
      <c r="G9" s="10">
        <v>799.38999999999965</v>
      </c>
      <c r="H9" s="10">
        <v>40.011088533540324</v>
      </c>
      <c r="I9" s="11">
        <v>10.183793416480114</v>
      </c>
      <c r="J9" s="10">
        <v>52.915749544940297</v>
      </c>
      <c r="K9" s="10">
        <v>1211.7600000000002</v>
      </c>
      <c r="L9" s="10">
        <v>44.775433212665192</v>
      </c>
      <c r="M9" s="11">
        <v>19.33242532298199</v>
      </c>
      <c r="N9" s="10">
        <v>106.5798956683908</v>
      </c>
      <c r="O9" s="11">
        <v>1.8122224707520662</v>
      </c>
      <c r="P9" s="12">
        <v>1.7416098063194247</v>
      </c>
      <c r="Q9" s="12">
        <v>1.2833138582374828</v>
      </c>
      <c r="R9" s="11">
        <v>16.898455216114353</v>
      </c>
      <c r="S9" s="11">
        <v>6.9345932701448305</v>
      </c>
      <c r="T9" s="75">
        <v>159.4956452133311</v>
      </c>
      <c r="U9" s="10">
        <v>94.603528023073963</v>
      </c>
      <c r="V9" s="11">
        <v>39.747905427243111</v>
      </c>
      <c r="W9" s="16">
        <v>3.0869271321374474</v>
      </c>
      <c r="Y9" s="9"/>
      <c r="Z9" s="9"/>
      <c r="AA9" s="9"/>
    </row>
    <row r="10" spans="1:27" x14ac:dyDescent="0.25">
      <c r="A10" s="85">
        <v>29</v>
      </c>
      <c r="B10" s="86">
        <v>16.904386146545399</v>
      </c>
      <c r="C10" s="87">
        <v>1208.52</v>
      </c>
      <c r="D10" s="87">
        <v>55.648768037177589</v>
      </c>
      <c r="E10" s="86">
        <v>29.782084160898538</v>
      </c>
      <c r="F10" s="87">
        <v>207.97062696507692</v>
      </c>
      <c r="G10" s="87">
        <v>327.41999999999996</v>
      </c>
      <c r="H10" s="87">
        <v>47.569005314314893</v>
      </c>
      <c r="I10" s="86">
        <v>5.8958100172646084</v>
      </c>
      <c r="J10" s="87">
        <v>38.833615586283315</v>
      </c>
      <c r="K10" s="87">
        <v>881.1</v>
      </c>
      <c r="L10" s="87">
        <v>58.366887911006039</v>
      </c>
      <c r="M10" s="86">
        <v>23.88627414363393</v>
      </c>
      <c r="N10" s="87">
        <v>169.1370113787936</v>
      </c>
      <c r="O10" s="86">
        <v>1.8166875168186927</v>
      </c>
      <c r="P10" s="88">
        <v>1.6028710080130211</v>
      </c>
      <c r="Q10" s="88">
        <v>1.378133709564781</v>
      </c>
      <c r="R10" s="86">
        <v>18.053613529946698</v>
      </c>
      <c r="S10" s="86">
        <v>8.9960819486212831</v>
      </c>
      <c r="T10" s="89">
        <v>260.88637651001721</v>
      </c>
      <c r="U10" s="87">
        <v>90.987711067284707</v>
      </c>
      <c r="V10" s="86">
        <v>27.092642240095319</v>
      </c>
      <c r="W10" s="86">
        <v>3.6201126374261317</v>
      </c>
    </row>
    <row r="11" spans="1:27" x14ac:dyDescent="0.25">
      <c r="A11" s="15">
        <v>35</v>
      </c>
      <c r="B11" s="16">
        <v>20.200517393112101</v>
      </c>
      <c r="C11" s="17">
        <v>877.5</v>
      </c>
      <c r="D11" s="17">
        <v>69.267013011918195</v>
      </c>
      <c r="E11" s="16">
        <v>33.503500191712057</v>
      </c>
      <c r="F11" s="17">
        <v>277.45869255847379</v>
      </c>
      <c r="G11" s="17">
        <v>215.10000000000002</v>
      </c>
      <c r="H11" s="17">
        <v>58.99659578841657</v>
      </c>
      <c r="I11" s="16">
        <v>5.9577798590442974</v>
      </c>
      <c r="J11" s="17">
        <v>47.487272279994869</v>
      </c>
      <c r="K11" s="17">
        <v>662.4</v>
      </c>
      <c r="L11" s="17">
        <v>72.288936750422067</v>
      </c>
      <c r="M11" s="16">
        <v>27.545720332667759</v>
      </c>
      <c r="N11" s="17">
        <v>229.97142027847892</v>
      </c>
      <c r="O11" s="16">
        <v>1.8277766382222989</v>
      </c>
      <c r="P11" s="13">
        <v>1.4754421784934302</v>
      </c>
      <c r="Q11" s="13">
        <v>1.4166601035844795</v>
      </c>
      <c r="R11" s="16">
        <v>18.601104114272843</v>
      </c>
      <c r="S11" s="16">
        <v>10.548801648277069</v>
      </c>
      <c r="T11" s="76">
        <v>369.2080576896974</v>
      </c>
      <c r="U11" s="17">
        <v>87.789086260897719</v>
      </c>
      <c r="V11" s="16">
        <v>24.512820512820518</v>
      </c>
      <c r="W11" s="16">
        <v>4.1751734508996625</v>
      </c>
    </row>
    <row r="12" spans="1:27" x14ac:dyDescent="0.25">
      <c r="A12" s="85">
        <v>41</v>
      </c>
      <c r="B12" s="86">
        <v>23.324076335906899</v>
      </c>
      <c r="C12" s="87">
        <v>659.88000000000011</v>
      </c>
      <c r="D12" s="87">
        <v>83.25559657975586</v>
      </c>
      <c r="E12" s="86">
        <v>36.398373403628341</v>
      </c>
      <c r="F12" s="87">
        <v>341.57804496411597</v>
      </c>
      <c r="G12" s="87">
        <v>156.87000000000012</v>
      </c>
      <c r="H12" s="87">
        <v>70.486859417654387</v>
      </c>
      <c r="I12" s="86">
        <v>6.2022083885733608</v>
      </c>
      <c r="J12" s="87">
        <v>56.53697945129278</v>
      </c>
      <c r="K12" s="87">
        <v>503.01</v>
      </c>
      <c r="L12" s="87">
        <v>86.854538596232643</v>
      </c>
      <c r="M12" s="86">
        <v>30.19616501505498</v>
      </c>
      <c r="N12" s="87">
        <v>285.0410655128232</v>
      </c>
      <c r="O12" s="86">
        <v>1.871068785405581</v>
      </c>
      <c r="P12" s="88">
        <v>1.3609720564947299</v>
      </c>
      <c r="Q12" s="88">
        <v>1.4252623584492039</v>
      </c>
      <c r="R12" s="86">
        <v>18.740784714535948</v>
      </c>
      <c r="S12" s="86">
        <v>11.727187375008157</v>
      </c>
      <c r="T12" s="89">
        <v>480.81468237533443</v>
      </c>
      <c r="U12" s="87">
        <v>84.364902574971467</v>
      </c>
      <c r="V12" s="86">
        <v>23.77250409165304</v>
      </c>
      <c r="W12" s="86">
        <v>4.7912228867738502</v>
      </c>
    </row>
    <row r="13" spans="1:27" x14ac:dyDescent="0.25">
      <c r="A13" s="15">
        <v>47</v>
      </c>
      <c r="B13" s="16">
        <v>26.271541666030799</v>
      </c>
      <c r="C13" s="17">
        <v>501.11999999999995</v>
      </c>
      <c r="D13" s="17">
        <v>98.08095130866613</v>
      </c>
      <c r="E13" s="16">
        <v>38.361997354023359</v>
      </c>
      <c r="F13" s="17">
        <v>397.48577380003888</v>
      </c>
      <c r="G13" s="17">
        <v>112.40999999999997</v>
      </c>
      <c r="H13" s="17">
        <v>85.067506406418332</v>
      </c>
      <c r="I13" s="16">
        <v>6.473251620563488</v>
      </c>
      <c r="J13" s="17">
        <v>65.985874208415851</v>
      </c>
      <c r="K13" s="17">
        <v>388.71</v>
      </c>
      <c r="L13" s="17">
        <v>101.53383593825527</v>
      </c>
      <c r="M13" s="16">
        <v>31.888745733459871</v>
      </c>
      <c r="N13" s="17">
        <v>331.49989959162303</v>
      </c>
      <c r="O13" s="16">
        <v>1.9204350725090933</v>
      </c>
      <c r="P13" s="13">
        <v>1.2549172603805101</v>
      </c>
      <c r="Q13" s="13">
        <v>1.4170550858592712</v>
      </c>
      <c r="R13" s="16">
        <v>18.536289135719699</v>
      </c>
      <c r="S13" s="16">
        <v>12.622540226862769</v>
      </c>
      <c r="T13" s="76">
        <v>593.25939066255012</v>
      </c>
      <c r="U13" s="17">
        <v>81.287662909408212</v>
      </c>
      <c r="V13" s="16">
        <v>22.431752873563212</v>
      </c>
      <c r="W13" s="16">
        <v>5.4503178165958808</v>
      </c>
      <c r="Y13" s="9"/>
      <c r="AA13" s="9"/>
    </row>
    <row r="14" spans="1:27" x14ac:dyDescent="0.25">
      <c r="A14" s="85">
        <v>53</v>
      </c>
      <c r="B14" s="86">
        <v>29.035376249313298</v>
      </c>
      <c r="C14" s="87">
        <v>387.54</v>
      </c>
      <c r="D14" s="87">
        <v>113.05644637330983</v>
      </c>
      <c r="E14" s="86">
        <v>39.418249295742932</v>
      </c>
      <c r="F14" s="87">
        <v>442.71763440594123</v>
      </c>
      <c r="G14" s="87">
        <v>77.849999999999966</v>
      </c>
      <c r="H14" s="87">
        <v>98.005829296407114</v>
      </c>
      <c r="I14" s="86">
        <v>5.95048779393084</v>
      </c>
      <c r="J14" s="87">
        <v>65.956397233275936</v>
      </c>
      <c r="K14" s="87">
        <v>309.69000000000005</v>
      </c>
      <c r="L14" s="87">
        <v>116.53454201315665</v>
      </c>
      <c r="M14" s="86">
        <v>33.467761501812092</v>
      </c>
      <c r="N14" s="87">
        <v>376.76123717266529</v>
      </c>
      <c r="O14" s="86">
        <v>1.9627534197178751</v>
      </c>
      <c r="P14" s="88">
        <v>1.1646850770172794</v>
      </c>
      <c r="Q14" s="88">
        <v>1.3986998603333738</v>
      </c>
      <c r="R14" s="86">
        <v>18.277600498715248</v>
      </c>
      <c r="S14" s="86">
        <v>13.29202123541261</v>
      </c>
      <c r="T14" s="89">
        <v>704.47712547686831</v>
      </c>
      <c r="U14" s="87">
        <v>78.274924450091248</v>
      </c>
      <c r="V14" s="86">
        <v>20.088248954946575</v>
      </c>
      <c r="W14" s="86">
        <v>6.106200959189013</v>
      </c>
      <c r="Y14" s="9"/>
    </row>
    <row r="15" spans="1:27" x14ac:dyDescent="0.25">
      <c r="A15" s="15">
        <v>59</v>
      </c>
      <c r="B15" s="16">
        <v>31.6396571197509</v>
      </c>
      <c r="C15" s="17">
        <v>308.79000000000002</v>
      </c>
      <c r="D15" s="17">
        <v>128.3110625314639</v>
      </c>
      <c r="E15" s="16">
        <v>40.455871963915769</v>
      </c>
      <c r="F15" s="17">
        <v>486.42684016495679</v>
      </c>
      <c r="G15" s="17">
        <v>55.799999999999983</v>
      </c>
      <c r="H15" s="17">
        <v>111.55151172180622</v>
      </c>
      <c r="I15" s="16">
        <v>5.5255467177502169</v>
      </c>
      <c r="J15" s="17">
        <v>65.763538069027447</v>
      </c>
      <c r="K15" s="17">
        <v>252.99000000000004</v>
      </c>
      <c r="L15" s="17">
        <v>131.72086354730931</v>
      </c>
      <c r="M15" s="16">
        <v>34.930325246165552</v>
      </c>
      <c r="N15" s="17">
        <v>420.66330209592934</v>
      </c>
      <c r="O15" s="16">
        <v>1.9962018550862599</v>
      </c>
      <c r="P15" s="13">
        <v>1.0920687303638996</v>
      </c>
      <c r="Q15" s="13">
        <v>1.3749017467758047</v>
      </c>
      <c r="R15" s="16">
        <v>18.049505774026802</v>
      </c>
      <c r="S15" s="16">
        <v>13.799029296087454</v>
      </c>
      <c r="T15" s="76">
        <v>814.14272846915981</v>
      </c>
      <c r="U15" s="17">
        <v>75.461784635058194</v>
      </c>
      <c r="V15" s="16">
        <v>18.070533372194689</v>
      </c>
      <c r="W15" s="16">
        <v>6.7558967963224719</v>
      </c>
      <c r="Y15" s="9"/>
    </row>
    <row r="16" spans="1:27" x14ac:dyDescent="0.25">
      <c r="A16" s="85">
        <v>65</v>
      </c>
      <c r="B16" s="86">
        <v>34.096352977752602</v>
      </c>
      <c r="C16" s="87">
        <v>252.45000000000002</v>
      </c>
      <c r="D16" s="87">
        <v>143.69807467782687</v>
      </c>
      <c r="E16" s="86">
        <v>41.48273762834895</v>
      </c>
      <c r="F16" s="87">
        <v>528.96033674009016</v>
      </c>
      <c r="G16" s="87">
        <v>40.950000000000017</v>
      </c>
      <c r="H16" s="87">
        <v>126.27504763411463</v>
      </c>
      <c r="I16" s="86">
        <v>5.1961194246972582</v>
      </c>
      <c r="J16" s="87">
        <v>65.744126819739904</v>
      </c>
      <c r="K16" s="87">
        <v>211.5</v>
      </c>
      <c r="L16" s="87">
        <v>146.83277065587026</v>
      </c>
      <c r="M16" s="86">
        <v>36.286618203651692</v>
      </c>
      <c r="N16" s="87">
        <v>463.21620992035025</v>
      </c>
      <c r="O16" s="86">
        <v>2.0172619151081741</v>
      </c>
      <c r="P16" s="88">
        <v>1.0260800350400245</v>
      </c>
      <c r="Q16" s="88">
        <v>1.3487940837223982</v>
      </c>
      <c r="R16" s="86">
        <v>17.766348047110188</v>
      </c>
      <c r="S16" s="86">
        <v>14.191380970974164</v>
      </c>
      <c r="T16" s="89">
        <v>922.43976311332062</v>
      </c>
      <c r="U16" s="87">
        <v>72.951597624048233</v>
      </c>
      <c r="V16" s="86">
        <v>16.221033868092697</v>
      </c>
      <c r="W16" s="86">
        <v>7.3888950551577626</v>
      </c>
      <c r="Y16" s="9"/>
    </row>
    <row r="17" spans="1:25" x14ac:dyDescent="0.25">
      <c r="A17" s="15">
        <v>71</v>
      </c>
      <c r="B17" s="16">
        <v>36.425288238525297</v>
      </c>
      <c r="C17" s="17">
        <v>211.14</v>
      </c>
      <c r="D17" s="17">
        <v>158.93634214651931</v>
      </c>
      <c r="E17" s="16">
        <v>42.443098413891839</v>
      </c>
      <c r="F17" s="17">
        <v>569.81429820301139</v>
      </c>
      <c r="G17" s="17">
        <v>30.509999999999991</v>
      </c>
      <c r="H17" s="17">
        <v>142.3860344986123</v>
      </c>
      <c r="I17" s="16">
        <v>4.92228928166994</v>
      </c>
      <c r="J17" s="17">
        <v>65.97425226679826</v>
      </c>
      <c r="K17" s="17">
        <v>180.63</v>
      </c>
      <c r="L17" s="17">
        <v>161.56455497971967</v>
      </c>
      <c r="M17" s="16">
        <v>37.520809132221899</v>
      </c>
      <c r="N17" s="17">
        <v>503.84004593621313</v>
      </c>
      <c r="O17" s="16">
        <v>2.0233131065049483</v>
      </c>
      <c r="P17" s="13">
        <v>0.97146991275714001</v>
      </c>
      <c r="Q17" s="13">
        <v>1.3215224739745919</v>
      </c>
      <c r="R17" s="16">
        <v>17.513602656941703</v>
      </c>
      <c r="S17" s="16">
        <v>14.493490864732138</v>
      </c>
      <c r="T17" s="76">
        <v>1029.0378513959818</v>
      </c>
      <c r="U17" s="17">
        <v>70.828293959282092</v>
      </c>
      <c r="V17" s="16">
        <v>14.450127877237849</v>
      </c>
      <c r="W17" s="16">
        <v>7.9953916665977269</v>
      </c>
      <c r="Y17" s="9"/>
    </row>
    <row r="18" spans="1:25" x14ac:dyDescent="0.25">
      <c r="A18" s="85">
        <v>77</v>
      </c>
      <c r="B18" s="86">
        <v>38.6135558242797</v>
      </c>
      <c r="C18" s="87">
        <v>180.54</v>
      </c>
      <c r="D18" s="87">
        <v>173.70443361874936</v>
      </c>
      <c r="E18" s="86">
        <v>43.349628608764739</v>
      </c>
      <c r="F18" s="87">
        <v>608.92166187786336</v>
      </c>
      <c r="G18" s="87">
        <v>23.759999999999991</v>
      </c>
      <c r="H18" s="87">
        <v>157.39754233228604</v>
      </c>
      <c r="I18" s="86">
        <v>4.6841680332227682</v>
      </c>
      <c r="J18" s="87">
        <v>65.836274485323656</v>
      </c>
      <c r="K18" s="87">
        <v>156.78</v>
      </c>
      <c r="L18" s="87">
        <v>176.04398702010977</v>
      </c>
      <c r="M18" s="86">
        <v>38.665460575541971</v>
      </c>
      <c r="N18" s="87">
        <v>543.0853873925397</v>
      </c>
      <c r="O18" s="86">
        <v>2.0296597707821227</v>
      </c>
      <c r="P18" s="88">
        <v>0.92240701338792042</v>
      </c>
      <c r="Q18" s="88">
        <v>1.2942456510225826</v>
      </c>
      <c r="R18" s="86">
        <v>17.25298967306416</v>
      </c>
      <c r="S18" s="86">
        <v>14.72882425113808</v>
      </c>
      <c r="T18" s="89">
        <v>1134.1194673376322</v>
      </c>
      <c r="U18" s="87">
        <v>68.90781409800681</v>
      </c>
      <c r="V18" s="86">
        <v>13.160518444665998</v>
      </c>
      <c r="W18" s="86">
        <v>8.5820166761416505</v>
      </c>
      <c r="Y18" s="9"/>
    </row>
    <row r="19" spans="1:25" x14ac:dyDescent="0.25">
      <c r="A19" s="15">
        <v>83</v>
      </c>
      <c r="B19" s="16">
        <v>40.692147361755303</v>
      </c>
      <c r="C19" s="17">
        <v>156.78</v>
      </c>
      <c r="D19" s="17">
        <v>188.2219456448025</v>
      </c>
      <c r="E19" s="16">
        <v>44.199902655869494</v>
      </c>
      <c r="F19" s="17">
        <v>646.60332543092466</v>
      </c>
      <c r="G19" s="17">
        <v>19.169999999999987</v>
      </c>
      <c r="H19" s="17">
        <v>170.73056134114637</v>
      </c>
      <c r="I19" s="16">
        <v>4.4466688216308654</v>
      </c>
      <c r="J19" s="17">
        <v>65.029435282276268</v>
      </c>
      <c r="K19" s="17">
        <v>137.61000000000001</v>
      </c>
      <c r="L19" s="17">
        <v>190.5312278568243</v>
      </c>
      <c r="M19" s="16">
        <v>39.753233834238628</v>
      </c>
      <c r="N19" s="17">
        <v>581.57389014864839</v>
      </c>
      <c r="O19" s="16">
        <v>2.0391404001734657</v>
      </c>
      <c r="P19" s="13">
        <v>0.87822990796864531</v>
      </c>
      <c r="Q19" s="13">
        <v>1.267365749506824</v>
      </c>
      <c r="R19" s="16">
        <v>17.000372671305456</v>
      </c>
      <c r="S19" s="16">
        <v>14.911294040674901</v>
      </c>
      <c r="T19" s="76">
        <v>1237.6374053760169</v>
      </c>
      <c r="U19" s="17">
        <v>67.095642351367417</v>
      </c>
      <c r="V19" s="16">
        <v>12.227324913892069</v>
      </c>
      <c r="W19" s="16">
        <v>9.1602997821772725</v>
      </c>
      <c r="Y19" s="9"/>
    </row>
    <row r="20" spans="1:25" x14ac:dyDescent="0.25">
      <c r="A20" s="90">
        <v>89</v>
      </c>
      <c r="B20" s="91">
        <v>42.687250785827601</v>
      </c>
      <c r="C20" s="92">
        <v>137.61000000000001</v>
      </c>
      <c r="D20" s="92">
        <v>202.7660702578651</v>
      </c>
      <c r="E20" s="91">
        <v>45.0226132820505</v>
      </c>
      <c r="F20" s="92">
        <v>683.57612617648113</v>
      </c>
      <c r="G20" s="92">
        <v>137.61000000000001</v>
      </c>
      <c r="H20" s="92">
        <v>202.7660702578651</v>
      </c>
      <c r="I20" s="91">
        <v>45.0226132820505</v>
      </c>
      <c r="J20" s="92">
        <v>683.57612617648113</v>
      </c>
      <c r="K20" s="92" t="s">
        <v>27</v>
      </c>
      <c r="L20" s="92" t="s">
        <v>27</v>
      </c>
      <c r="M20" s="91" t="s">
        <v>27</v>
      </c>
      <c r="N20" s="92" t="s">
        <v>27</v>
      </c>
      <c r="O20" s="91" t="s">
        <v>27</v>
      </c>
      <c r="P20" s="93" t="s">
        <v>27</v>
      </c>
      <c r="Q20" s="93">
        <v>1.241131872549194</v>
      </c>
      <c r="R20" s="91" t="s">
        <v>27</v>
      </c>
      <c r="S20" s="91">
        <v>15.052130802290446</v>
      </c>
      <c r="T20" s="94">
        <v>1339.6396414038497</v>
      </c>
      <c r="U20" s="92">
        <v>66.138261347252836</v>
      </c>
      <c r="V20" s="95" t="s">
        <v>27</v>
      </c>
      <c r="W20" s="96" t="s">
        <v>27</v>
      </c>
    </row>
    <row r="22" spans="1:25" x14ac:dyDescent="0.25">
      <c r="A22" s="5" t="s">
        <v>30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5" ht="15" customHeight="1" x14ac:dyDescent="0.25">
      <c r="A23" s="141" t="s">
        <v>1</v>
      </c>
      <c r="B23" s="141" t="s">
        <v>2</v>
      </c>
      <c r="C23" s="146" t="s">
        <v>31</v>
      </c>
      <c r="D23" s="155"/>
      <c r="E23" s="155"/>
      <c r="F23" s="155"/>
      <c r="G23" s="155"/>
      <c r="H23" s="155"/>
      <c r="I23" s="155"/>
      <c r="J23" s="147"/>
      <c r="K23" s="146" t="s">
        <v>109</v>
      </c>
      <c r="L23" s="147"/>
      <c r="M23" s="146" t="s">
        <v>32</v>
      </c>
      <c r="N23" s="155"/>
      <c r="O23" s="155"/>
      <c r="P23" s="155"/>
      <c r="Q23" s="155"/>
      <c r="R23" s="155"/>
      <c r="S23" s="155"/>
      <c r="T23" s="147"/>
      <c r="U23" s="146" t="s">
        <v>110</v>
      </c>
      <c r="V23" s="147"/>
      <c r="W23" s="143" t="s">
        <v>107</v>
      </c>
    </row>
    <row r="24" spans="1:25" x14ac:dyDescent="0.25">
      <c r="A24" s="145"/>
      <c r="B24" s="145"/>
      <c r="C24" s="82" t="s">
        <v>19</v>
      </c>
      <c r="D24" s="82" t="s">
        <v>20</v>
      </c>
      <c r="E24" s="82" t="s">
        <v>21</v>
      </c>
      <c r="F24" s="82" t="s">
        <v>22</v>
      </c>
      <c r="G24" s="82" t="s">
        <v>23</v>
      </c>
      <c r="H24" s="82" t="s">
        <v>24</v>
      </c>
      <c r="I24" s="82" t="s">
        <v>25</v>
      </c>
      <c r="J24" s="82" t="s">
        <v>26</v>
      </c>
      <c r="K24" s="98" t="s">
        <v>109</v>
      </c>
      <c r="L24" s="98" t="s">
        <v>106</v>
      </c>
      <c r="M24" s="82" t="s">
        <v>19</v>
      </c>
      <c r="N24" s="82" t="s">
        <v>20</v>
      </c>
      <c r="O24" s="82" t="s">
        <v>21</v>
      </c>
      <c r="P24" s="82" t="s">
        <v>22</v>
      </c>
      <c r="Q24" s="82" t="s">
        <v>23</v>
      </c>
      <c r="R24" s="82" t="s">
        <v>24</v>
      </c>
      <c r="S24" s="82" t="s">
        <v>25</v>
      </c>
      <c r="T24" s="82" t="s">
        <v>26</v>
      </c>
      <c r="U24" s="98" t="s">
        <v>110</v>
      </c>
      <c r="V24" s="98" t="s">
        <v>106</v>
      </c>
      <c r="W24" s="144"/>
    </row>
    <row r="25" spans="1:25" s="78" customFormat="1" ht="12" x14ac:dyDescent="0.2">
      <c r="A25" s="81" t="s">
        <v>60</v>
      </c>
      <c r="B25" s="81" t="s">
        <v>58</v>
      </c>
      <c r="C25" s="81" t="s">
        <v>57</v>
      </c>
      <c r="D25" s="81" t="s">
        <v>57</v>
      </c>
      <c r="E25" s="81" t="s">
        <v>57</v>
      </c>
      <c r="F25" s="81" t="s">
        <v>57</v>
      </c>
      <c r="G25" s="81" t="s">
        <v>57</v>
      </c>
      <c r="H25" s="81" t="s">
        <v>57</v>
      </c>
      <c r="I25" s="81" t="s">
        <v>57</v>
      </c>
      <c r="J25" s="81" t="s">
        <v>57</v>
      </c>
      <c r="K25" s="81" t="s">
        <v>64</v>
      </c>
      <c r="L25" s="81" t="s">
        <v>64</v>
      </c>
      <c r="M25" s="81" t="s">
        <v>57</v>
      </c>
      <c r="N25" s="81" t="s">
        <v>57</v>
      </c>
      <c r="O25" s="81" t="s">
        <v>57</v>
      </c>
      <c r="P25" s="81" t="s">
        <v>57</v>
      </c>
      <c r="Q25" s="81" t="s">
        <v>57</v>
      </c>
      <c r="R25" s="81" t="s">
        <v>57</v>
      </c>
      <c r="S25" s="81" t="s">
        <v>57</v>
      </c>
      <c r="T25" s="81" t="s">
        <v>57</v>
      </c>
      <c r="U25" s="81" t="s">
        <v>64</v>
      </c>
      <c r="V25" s="81" t="s">
        <v>64</v>
      </c>
      <c r="W25" s="81" t="s">
        <v>64</v>
      </c>
    </row>
    <row r="26" spans="1:25" x14ac:dyDescent="0.25">
      <c r="A26" s="72">
        <v>23</v>
      </c>
      <c r="B26" s="16">
        <v>13.483332875251699</v>
      </c>
      <c r="C26" s="17">
        <v>40.99565812211943</v>
      </c>
      <c r="D26" s="17">
        <v>92.812529435814923</v>
      </c>
      <c r="E26" s="17">
        <v>24.60421282474222</v>
      </c>
      <c r="F26" s="17">
        <v>0.7584684399654773</v>
      </c>
      <c r="G26" s="17">
        <v>0</v>
      </c>
      <c r="H26" s="17">
        <v>0</v>
      </c>
      <c r="I26" s="17">
        <v>0</v>
      </c>
      <c r="J26" s="17">
        <v>0</v>
      </c>
      <c r="K26" s="76">
        <v>2101.9906698349823</v>
      </c>
      <c r="L26" s="76">
        <v>1332.989822221042</v>
      </c>
      <c r="M26" s="17">
        <v>19.417337910063146</v>
      </c>
      <c r="N26" s="17">
        <v>26.286714398762662</v>
      </c>
      <c r="O26" s="17">
        <v>6.712895396874849</v>
      </c>
      <c r="P26" s="17">
        <v>0.17402544854987542</v>
      </c>
      <c r="Q26" s="17">
        <v>0</v>
      </c>
      <c r="R26" s="17">
        <v>0</v>
      </c>
      <c r="S26" s="17">
        <v>0</v>
      </c>
      <c r="T26" s="17">
        <v>0</v>
      </c>
      <c r="U26" s="76">
        <v>570.09336308577372</v>
      </c>
      <c r="V26" s="76">
        <v>361.52807984098234</v>
      </c>
      <c r="W26" s="76">
        <v>1332.989822221042</v>
      </c>
    </row>
    <row r="27" spans="1:25" x14ac:dyDescent="0.25">
      <c r="A27" s="97">
        <v>29</v>
      </c>
      <c r="B27" s="86">
        <v>16.904386146545399</v>
      </c>
      <c r="C27" s="87">
        <v>12.239952717028878</v>
      </c>
      <c r="D27" s="87">
        <v>84.3197856935235</v>
      </c>
      <c r="E27" s="87">
        <v>52.583545887703337</v>
      </c>
      <c r="F27" s="87">
        <v>58.596833011904636</v>
      </c>
      <c r="G27" s="87">
        <v>0</v>
      </c>
      <c r="H27" s="87">
        <v>0</v>
      </c>
      <c r="I27" s="87">
        <v>0</v>
      </c>
      <c r="J27" s="87">
        <v>0</v>
      </c>
      <c r="K27" s="89">
        <v>4898.9030335598773</v>
      </c>
      <c r="L27" s="89">
        <v>2758.6325878190651</v>
      </c>
      <c r="M27" s="87">
        <v>6.6531507705087565</v>
      </c>
      <c r="N27" s="87">
        <v>18.742241030589863</v>
      </c>
      <c r="O27" s="87">
        <v>5.8097502130721921</v>
      </c>
      <c r="P27" s="87">
        <v>7.3979639171955913</v>
      </c>
      <c r="Q27" s="87">
        <v>0</v>
      </c>
      <c r="R27" s="87">
        <v>0</v>
      </c>
      <c r="S27" s="87">
        <v>0</v>
      </c>
      <c r="T27" s="87">
        <v>0</v>
      </c>
      <c r="U27" s="89">
        <v>666.31567290858095</v>
      </c>
      <c r="V27" s="89">
        <v>375.21055560156634</v>
      </c>
      <c r="W27" s="89">
        <v>3120.1606676600472</v>
      </c>
    </row>
    <row r="28" spans="1:25" x14ac:dyDescent="0.25">
      <c r="A28" s="72">
        <v>35</v>
      </c>
      <c r="B28" s="16">
        <v>20.200517393112101</v>
      </c>
      <c r="C28" s="17">
        <v>3.3623617405472386</v>
      </c>
      <c r="D28" s="17">
        <v>44.261902883854972</v>
      </c>
      <c r="E28" s="17">
        <v>56.641076265712996</v>
      </c>
      <c r="F28" s="17">
        <v>118.72162374938996</v>
      </c>
      <c r="G28" s="17">
        <v>54.179696196921299</v>
      </c>
      <c r="H28" s="17">
        <v>0</v>
      </c>
      <c r="I28" s="17">
        <v>0</v>
      </c>
      <c r="J28" s="17">
        <v>0</v>
      </c>
      <c r="K28" s="76">
        <v>9732.772851167736</v>
      </c>
      <c r="L28" s="76">
        <v>4866.6551801375663</v>
      </c>
      <c r="M28" s="17">
        <v>2.1212302925594266</v>
      </c>
      <c r="N28" s="17">
        <v>16.301542546650502</v>
      </c>
      <c r="O28" s="17">
        <v>9.9627949130851405</v>
      </c>
      <c r="P28" s="17">
        <v>12.918492209730575</v>
      </c>
      <c r="Q28" s="17">
        <v>5.8911805959221368</v>
      </c>
      <c r="R28" s="17">
        <v>0</v>
      </c>
      <c r="S28" s="17">
        <v>0</v>
      </c>
      <c r="T28" s="17">
        <v>0</v>
      </c>
      <c r="U28" s="76">
        <v>1194.662083738209</v>
      </c>
      <c r="V28" s="76">
        <v>597.36403050246167</v>
      </c>
      <c r="W28" s="76">
        <v>5603.3938155801152</v>
      </c>
    </row>
    <row r="29" spans="1:25" x14ac:dyDescent="0.25">
      <c r="A29" s="97">
        <v>41</v>
      </c>
      <c r="B29" s="86">
        <v>23.324076335906899</v>
      </c>
      <c r="C29" s="87">
        <v>0.69367464210105267</v>
      </c>
      <c r="D29" s="87">
        <v>16.87709699190755</v>
      </c>
      <c r="E29" s="87">
        <v>30.751187801552938</v>
      </c>
      <c r="F29" s="87">
        <v>130.22517657037383</v>
      </c>
      <c r="G29" s="87">
        <v>157.02661356895706</v>
      </c>
      <c r="H29" s="87">
        <v>5.6778009567693175</v>
      </c>
      <c r="I29" s="87">
        <v>0</v>
      </c>
      <c r="J29" s="87">
        <v>0</v>
      </c>
      <c r="K29" s="89">
        <v>14938.848744565923</v>
      </c>
      <c r="L29" s="89">
        <v>6633.0013826626564</v>
      </c>
      <c r="M29" s="87">
        <v>0.54963103547092318</v>
      </c>
      <c r="N29" s="87">
        <v>9.0396225707927105</v>
      </c>
      <c r="O29" s="87">
        <v>11.35263104045157</v>
      </c>
      <c r="P29" s="87">
        <v>20.267987778285931</v>
      </c>
      <c r="Q29" s="87">
        <v>14.784844931612083</v>
      </c>
      <c r="R29" s="87">
        <v>0.21576766222580207</v>
      </c>
      <c r="S29" s="87">
        <v>0</v>
      </c>
      <c r="T29" s="87">
        <v>0</v>
      </c>
      <c r="U29" s="89">
        <v>1841.9335601078728</v>
      </c>
      <c r="V29" s="89">
        <v>817.83730860870116</v>
      </c>
      <c r="W29" s="89">
        <v>7967.1040486076672</v>
      </c>
    </row>
    <row r="30" spans="1:25" x14ac:dyDescent="0.25">
      <c r="A30" s="72">
        <v>47</v>
      </c>
      <c r="B30" s="16">
        <v>26.271541666030799</v>
      </c>
      <c r="C30" s="17">
        <v>5.409302087741788E-2</v>
      </c>
      <c r="D30" s="17">
        <v>5.1843829133580481</v>
      </c>
      <c r="E30" s="17">
        <v>11.068092243837963</v>
      </c>
      <c r="F30" s="17">
        <v>80.876499134220339</v>
      </c>
      <c r="G30" s="17">
        <v>216.0262249133082</v>
      </c>
      <c r="H30" s="17">
        <v>83.845352088660945</v>
      </c>
      <c r="I30" s="17">
        <v>0</v>
      </c>
      <c r="J30" s="17">
        <v>0</v>
      </c>
      <c r="K30" s="76">
        <v>20499.985727964748</v>
      </c>
      <c r="L30" s="76">
        <v>8082.4957680799334</v>
      </c>
      <c r="M30" s="17">
        <v>5.409302087741788E-2</v>
      </c>
      <c r="N30" s="17">
        <v>3.6905324753176836</v>
      </c>
      <c r="O30" s="17">
        <v>5.6089869868615319</v>
      </c>
      <c r="P30" s="17">
        <v>22.562358060313692</v>
      </c>
      <c r="Q30" s="17">
        <v>26.501340161822093</v>
      </c>
      <c r="R30" s="17">
        <v>7.1374340174480846</v>
      </c>
      <c r="S30" s="17">
        <v>0</v>
      </c>
      <c r="T30" s="17">
        <v>0</v>
      </c>
      <c r="U30" s="76">
        <v>2703.9071880077813</v>
      </c>
      <c r="V30" s="76">
        <v>1066.0650545986266</v>
      </c>
      <c r="W30" s="76">
        <v>10234.435742633645</v>
      </c>
    </row>
    <row r="31" spans="1:25" x14ac:dyDescent="0.25">
      <c r="A31" s="97">
        <v>53</v>
      </c>
      <c r="B31" s="86">
        <v>29.035376249313298</v>
      </c>
      <c r="C31" s="87">
        <v>0</v>
      </c>
      <c r="D31" s="87">
        <v>0.51943387066248559</v>
      </c>
      <c r="E31" s="87">
        <v>2.962495506816043</v>
      </c>
      <c r="F31" s="87">
        <v>32.726772734818489</v>
      </c>
      <c r="G31" s="87">
        <v>204.92990548201823</v>
      </c>
      <c r="H31" s="87">
        <v>186.9932737089575</v>
      </c>
      <c r="I31" s="87">
        <v>14.155955511698252</v>
      </c>
      <c r="J31" s="87">
        <v>0</v>
      </c>
      <c r="K31" s="89">
        <v>25569.309866825151</v>
      </c>
      <c r="L31" s="89">
        <v>8951.7903580349757</v>
      </c>
      <c r="M31" s="87">
        <v>0</v>
      </c>
      <c r="N31" s="87">
        <v>0.51943387066248559</v>
      </c>
      <c r="O31" s="87">
        <v>1.8855513442940199</v>
      </c>
      <c r="P31" s="87">
        <v>15.195639152833726</v>
      </c>
      <c r="Q31" s="87">
        <v>32.551835747629738</v>
      </c>
      <c r="R31" s="87">
        <v>14.588245032944295</v>
      </c>
      <c r="S31" s="87">
        <v>0.78589449394191291</v>
      </c>
      <c r="T31" s="87">
        <v>0</v>
      </c>
      <c r="U31" s="89">
        <v>3095.0140944908399</v>
      </c>
      <c r="V31" s="89">
        <v>1083.5614051903856</v>
      </c>
      <c r="W31" s="89">
        <v>12169.795387187314</v>
      </c>
    </row>
    <row r="32" spans="1:25" x14ac:dyDescent="0.25">
      <c r="A32" s="72">
        <v>59</v>
      </c>
      <c r="B32" s="16">
        <v>31.6396571197509</v>
      </c>
      <c r="C32" s="17">
        <v>0</v>
      </c>
      <c r="D32" s="17">
        <v>0</v>
      </c>
      <c r="E32" s="17">
        <v>0.33160758317370076</v>
      </c>
      <c r="F32" s="17">
        <v>9.3019664104784265</v>
      </c>
      <c r="G32" s="17">
        <v>127.97016641754678</v>
      </c>
      <c r="H32" s="17">
        <v>245.30872480667946</v>
      </c>
      <c r="I32" s="17">
        <v>103.08405059385926</v>
      </c>
      <c r="J32" s="17">
        <v>0</v>
      </c>
      <c r="K32" s="76">
        <v>31206.202330400665</v>
      </c>
      <c r="L32" s="76">
        <v>9701.3190153166361</v>
      </c>
      <c r="M32" s="17">
        <v>0</v>
      </c>
      <c r="N32" s="17">
        <v>0</v>
      </c>
      <c r="O32" s="17">
        <v>0.22083343482504675</v>
      </c>
      <c r="P32" s="17">
        <v>5.8845943645396188</v>
      </c>
      <c r="Q32" s="17">
        <v>35.657362671727689</v>
      </c>
      <c r="R32" s="17">
        <v>16.38485987746537</v>
      </c>
      <c r="S32" s="17">
        <v>7.1855633672522563</v>
      </c>
      <c r="T32" s="17">
        <v>0</v>
      </c>
      <c r="U32" s="76">
        <v>3405.446796216449</v>
      </c>
      <c r="V32" s="76">
        <v>1058.678188713762</v>
      </c>
      <c r="W32" s="76">
        <v>14002.885449659359</v>
      </c>
    </row>
    <row r="33" spans="1:25" x14ac:dyDescent="0.25">
      <c r="A33" s="97">
        <v>65</v>
      </c>
      <c r="B33" s="86">
        <v>34.096352977752602</v>
      </c>
      <c r="C33" s="87">
        <v>0</v>
      </c>
      <c r="D33" s="87">
        <v>0</v>
      </c>
      <c r="E33" s="87">
        <v>0</v>
      </c>
      <c r="F33" s="87">
        <v>1.2518859328489771</v>
      </c>
      <c r="G33" s="87">
        <v>49.236347622928889</v>
      </c>
      <c r="H33" s="87">
        <v>246.03646656436044</v>
      </c>
      <c r="I33" s="87">
        <v>213.0870700377865</v>
      </c>
      <c r="J33" s="87">
        <v>18.969952772765282</v>
      </c>
      <c r="K33" s="89">
        <v>36887.539118063512</v>
      </c>
      <c r="L33" s="89">
        <v>10182.830589858962</v>
      </c>
      <c r="M33" s="87">
        <v>0</v>
      </c>
      <c r="N33" s="87">
        <v>0</v>
      </c>
      <c r="O33" s="87">
        <v>0</v>
      </c>
      <c r="P33" s="87">
        <v>1.1183434672009156</v>
      </c>
      <c r="Q33" s="87">
        <v>20.87917402292976</v>
      </c>
      <c r="R33" s="87">
        <v>30.062425513161827</v>
      </c>
      <c r="S33" s="87">
        <v>12.673047962859409</v>
      </c>
      <c r="T33" s="87">
        <v>0.63252204418884428</v>
      </c>
      <c r="U33" s="89">
        <v>3773.5779927236999</v>
      </c>
      <c r="V33" s="89">
        <v>1041.6988049687689</v>
      </c>
      <c r="W33" s="89">
        <v>15543.07521291545</v>
      </c>
    </row>
    <row r="34" spans="1:25" x14ac:dyDescent="0.25">
      <c r="A34" s="72">
        <v>71</v>
      </c>
      <c r="B34" s="16">
        <v>36.425288238525297</v>
      </c>
      <c r="C34" s="17">
        <v>0</v>
      </c>
      <c r="D34" s="17">
        <v>0</v>
      </c>
      <c r="E34" s="17">
        <v>0</v>
      </c>
      <c r="F34" s="17">
        <v>0</v>
      </c>
      <c r="G34" s="17">
        <v>13.102526149369169</v>
      </c>
      <c r="H34" s="17">
        <v>165.41697601208057</v>
      </c>
      <c r="I34" s="17">
        <v>270.96201349365009</v>
      </c>
      <c r="J34" s="17">
        <v>119.77915451425926</v>
      </c>
      <c r="K34" s="76">
        <v>42677.375369453584</v>
      </c>
      <c r="L34" s="76">
        <v>10461.296412357584</v>
      </c>
      <c r="M34" s="17">
        <v>0</v>
      </c>
      <c r="N34" s="17">
        <v>0</v>
      </c>
      <c r="O34" s="17">
        <v>0</v>
      </c>
      <c r="P34" s="17">
        <v>0</v>
      </c>
      <c r="Q34" s="17">
        <v>8.3659531293845699</v>
      </c>
      <c r="R34" s="17">
        <v>33.107528248137747</v>
      </c>
      <c r="S34" s="17">
        <v>17.30130986038267</v>
      </c>
      <c r="T34" s="17">
        <v>6.6458329952418591</v>
      </c>
      <c r="U34" s="76">
        <v>4109.9782158920598</v>
      </c>
      <c r="V34" s="76">
        <v>1007.4588700118069</v>
      </c>
      <c r="W34" s="76">
        <v>16863.239840382841</v>
      </c>
    </row>
    <row r="35" spans="1:25" x14ac:dyDescent="0.25">
      <c r="A35" s="97">
        <v>77</v>
      </c>
      <c r="B35" s="86">
        <v>38.6135558242797</v>
      </c>
      <c r="C35" s="87">
        <v>0</v>
      </c>
      <c r="D35" s="87">
        <v>0</v>
      </c>
      <c r="E35" s="87">
        <v>0</v>
      </c>
      <c r="F35" s="87">
        <v>0</v>
      </c>
      <c r="G35" s="87">
        <v>1.323213578410845</v>
      </c>
      <c r="H35" s="87">
        <v>65.045259187331027</v>
      </c>
      <c r="I35" s="87">
        <v>292.04136124535364</v>
      </c>
      <c r="J35" s="87">
        <v>249.93154754789938</v>
      </c>
      <c r="K35" s="89">
        <v>48155.974260186522</v>
      </c>
      <c r="L35" s="89">
        <v>10481.826046132222</v>
      </c>
      <c r="M35" s="87">
        <v>0</v>
      </c>
      <c r="N35" s="87">
        <v>0</v>
      </c>
      <c r="O35" s="87">
        <v>0</v>
      </c>
      <c r="P35" s="87">
        <v>0</v>
      </c>
      <c r="Q35" s="87">
        <v>1.1833997906467613</v>
      </c>
      <c r="R35" s="87">
        <v>23.858357220843377</v>
      </c>
      <c r="S35" s="87">
        <v>26.067424082590154</v>
      </c>
      <c r="T35" s="87">
        <v>14.146813072375192</v>
      </c>
      <c r="U35" s="89">
        <v>4408.8106221967109</v>
      </c>
      <c r="V35" s="89">
        <v>959.63972740994859</v>
      </c>
      <c r="W35" s="89">
        <v>17891.228344169285</v>
      </c>
    </row>
    <row r="36" spans="1:25" x14ac:dyDescent="0.25">
      <c r="A36" s="72">
        <v>83</v>
      </c>
      <c r="B36" s="16">
        <v>40.692147361755303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16.380776345716576</v>
      </c>
      <c r="I36" s="17">
        <v>213.45656934110062</v>
      </c>
      <c r="J36" s="17">
        <v>416.28170985735665</v>
      </c>
      <c r="K36" s="76">
        <v>53005.302843421683</v>
      </c>
      <c r="L36" s="76">
        <v>10244.837258676425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9.1698589374723998</v>
      </c>
      <c r="S36" s="17">
        <v>35.2863754907087</v>
      </c>
      <c r="T36" s="17">
        <v>20.088930967343764</v>
      </c>
      <c r="U36" s="76">
        <v>4577.1299705670972</v>
      </c>
      <c r="V36" s="76">
        <v>884.66529091984887</v>
      </c>
      <c r="W36" s="76">
        <v>18613.879284123435</v>
      </c>
    </row>
    <row r="37" spans="1:25" x14ac:dyDescent="0.25">
      <c r="A37" s="97">
        <v>89</v>
      </c>
      <c r="B37" s="91">
        <v>42.687250785827601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2.0534793600913019</v>
      </c>
      <c r="I37" s="92">
        <v>92.682516552725701</v>
      </c>
      <c r="J37" s="92">
        <v>588.8401302636621</v>
      </c>
      <c r="K37" s="94">
        <v>57470.704517303187</v>
      </c>
      <c r="L37" s="94">
        <v>9863.5042092840558</v>
      </c>
      <c r="M37" s="92">
        <v>0</v>
      </c>
      <c r="N37" s="92">
        <v>0</v>
      </c>
      <c r="O37" s="92">
        <v>0</v>
      </c>
      <c r="P37" s="92">
        <v>0</v>
      </c>
      <c r="Q37" s="92">
        <v>0</v>
      </c>
      <c r="R37" s="92">
        <v>2.0534793600913019</v>
      </c>
      <c r="S37" s="92">
        <v>92.682516552725701</v>
      </c>
      <c r="T37" s="92">
        <v>588.8401302636621</v>
      </c>
      <c r="U37" s="94">
        <v>57470.704517303187</v>
      </c>
      <c r="V37" s="94">
        <v>9863.5042092840558</v>
      </c>
      <c r="W37" s="94">
        <v>19117.211525650913</v>
      </c>
    </row>
    <row r="38" spans="1:25" s="6" customFormat="1" x14ac:dyDescent="0.25">
      <c r="A38" s="18" t="s">
        <v>13</v>
      </c>
      <c r="B38" s="19" t="s">
        <v>27</v>
      </c>
      <c r="C38" s="19" t="s">
        <v>27</v>
      </c>
      <c r="D38" s="19" t="s">
        <v>27</v>
      </c>
      <c r="E38" s="19" t="s">
        <v>27</v>
      </c>
      <c r="F38" s="19" t="s">
        <v>27</v>
      </c>
      <c r="G38" s="19" t="s">
        <v>27</v>
      </c>
      <c r="H38" s="19" t="s">
        <v>27</v>
      </c>
      <c r="I38" s="19" t="s">
        <v>27</v>
      </c>
      <c r="J38" s="19" t="s">
        <v>27</v>
      </c>
      <c r="K38" s="19" t="s">
        <v>27</v>
      </c>
      <c r="L38" s="19" t="s">
        <v>27</v>
      </c>
      <c r="M38" s="18">
        <v>28.795443029479671</v>
      </c>
      <c r="N38" s="18">
        <v>74.580086892775896</v>
      </c>
      <c r="O38" s="18">
        <v>41.553443329464351</v>
      </c>
      <c r="P38" s="18">
        <v>85.519404398649925</v>
      </c>
      <c r="Q38" s="18">
        <v>145.81509105167484</v>
      </c>
      <c r="R38" s="18">
        <v>136.5779558697902</v>
      </c>
      <c r="S38" s="18">
        <v>191.9821318104608</v>
      </c>
      <c r="T38" s="18">
        <v>630.35422934281178</v>
      </c>
      <c r="U38" s="19" t="s">
        <v>27</v>
      </c>
      <c r="V38" s="77">
        <v>19117.211525650913</v>
      </c>
      <c r="W38" s="20" t="s">
        <v>27</v>
      </c>
    </row>
    <row r="39" spans="1:25" x14ac:dyDescent="0.25">
      <c r="A39"/>
      <c r="V39" s="2"/>
    </row>
    <row r="40" spans="1:25" x14ac:dyDescent="0.25">
      <c r="H40" s="8"/>
      <c r="I40" s="8"/>
      <c r="J40" s="8"/>
      <c r="W40" s="8" t="s">
        <v>75</v>
      </c>
    </row>
    <row r="41" spans="1:25" x14ac:dyDescent="0.25">
      <c r="V41" s="2"/>
      <c r="W41" s="8" t="s">
        <v>76</v>
      </c>
      <c r="X41" s="2"/>
      <c r="Y41" s="2"/>
    </row>
    <row r="42" spans="1: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V42" s="2"/>
      <c r="W42" s="8"/>
      <c r="X42" s="2"/>
      <c r="Y42" s="8"/>
    </row>
    <row r="43" spans="1:25" x14ac:dyDescent="0.25">
      <c r="V43" s="2"/>
      <c r="W43" s="2"/>
      <c r="X43" s="2"/>
      <c r="Y43" s="2"/>
    </row>
    <row r="44" spans="1:25" x14ac:dyDescent="0.25"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V45" s="2"/>
      <c r="W45" s="2"/>
      <c r="X45" s="2"/>
      <c r="Y45" s="2"/>
    </row>
    <row r="46" spans="1:25" x14ac:dyDescent="0.25">
      <c r="V46" s="2"/>
      <c r="W46" s="2"/>
      <c r="X46" s="2"/>
      <c r="Y46" s="2"/>
    </row>
  </sheetData>
  <mergeCells count="17">
    <mergeCell ref="A23:A24"/>
    <mergeCell ref="B23:B24"/>
    <mergeCell ref="C23:J23"/>
    <mergeCell ref="K23:L23"/>
    <mergeCell ref="M23:T23"/>
    <mergeCell ref="A6:A7"/>
    <mergeCell ref="B6:B7"/>
    <mergeCell ref="C6:F6"/>
    <mergeCell ref="G6:J6"/>
    <mergeCell ref="K6:N6"/>
    <mergeCell ref="D1:T1"/>
    <mergeCell ref="U6:U7"/>
    <mergeCell ref="V6:V7"/>
    <mergeCell ref="W6:W7"/>
    <mergeCell ref="U23:V23"/>
    <mergeCell ref="W23:W24"/>
    <mergeCell ref="O6:T6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48D708EB18334A8F5E2D4BBE638BA8" ma:contentTypeVersion="11" ma:contentTypeDescription="Crée un document." ma:contentTypeScope="" ma:versionID="73a72bdd6a2a580272656966b991cb93">
  <xsd:schema xmlns:xsd="http://www.w3.org/2001/XMLSchema" xmlns:xs="http://www.w3.org/2001/XMLSchema" xmlns:p="http://schemas.microsoft.com/office/2006/metadata/properties" xmlns:ns2="5785a5e1-32c4-4f65-af10-eebc16574aee" xmlns:ns3="aad19e44-66bb-48cb-9d5c-a59f7b5db471" targetNamespace="http://schemas.microsoft.com/office/2006/metadata/properties" ma:root="true" ma:fieldsID="250138fd6bf6ca4c82a587bcbad83ccc" ns2:_="" ns3:_="">
    <xsd:import namespace="5785a5e1-32c4-4f65-af10-eebc16574aee"/>
    <xsd:import namespace="aad19e44-66bb-48cb-9d5c-a59f7b5db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5a5e1-32c4-4f65-af10-eebc16574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434ded7-6e41-4000-8be6-3d063d771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19e44-66bb-48cb-9d5c-a59f7b5db4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387289-2c89-4b9a-9ce8-6120ba570354}" ma:internalName="TaxCatchAll" ma:showField="CatchAllData" ma:web="aad19e44-66bb-48cb-9d5c-a59f7b5db4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d19e44-66bb-48cb-9d5c-a59f7b5db471" xsi:nil="true"/>
    <lcf76f155ced4ddcb4097134ff3c332f xmlns="5785a5e1-32c4-4f65-af10-eebc16574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14F562-5D02-4FDD-8787-91F0BCF7A865}"/>
</file>

<file path=customXml/itemProps2.xml><?xml version="1.0" encoding="utf-8"?>
<ds:datastoreItem xmlns:ds="http://schemas.openxmlformats.org/officeDocument/2006/customXml" ds:itemID="{35585828-6D5F-4359-BC94-B7724310E9BE}"/>
</file>

<file path=customXml/itemProps3.xml><?xml version="1.0" encoding="utf-8"?>
<ds:datastoreItem xmlns:ds="http://schemas.openxmlformats.org/officeDocument/2006/customXml" ds:itemID="{FD9AA988-E1C2-4F2E-8FE9-1260B287A5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Synthèse</vt:lpstr>
      <vt:lpstr>Do0A</vt:lpstr>
      <vt:lpstr>Do1A</vt:lpstr>
      <vt:lpstr>Do2A</vt:lpstr>
      <vt:lpstr>Do3A</vt:lpstr>
      <vt:lpstr>Do4A</vt:lpstr>
      <vt:lpstr>Do0B</vt:lpstr>
      <vt:lpstr>Do1B</vt:lpstr>
      <vt:lpstr>Do2B</vt:lpstr>
      <vt:lpstr>Do3B</vt:lpstr>
      <vt:lpstr>Do4B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2024-08-07T08:35:27Z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0x0101009F48D708EB18334A8F5E2D4BBE638BA8</vt:lpwstr>
  </property>
</Properties>
</file>