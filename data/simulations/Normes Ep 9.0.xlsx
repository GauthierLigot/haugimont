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drawings/drawing8.xml" ContentType="application/vnd.openxmlformats-officedocument.drawing+xml"/>
  <Override PartName="/xl/drawings/drawing1.xml" ContentType="application/vnd.openxmlformats-officedocument.drawing+xml"/>
  <Override PartName="/xl/drawings/drawing3.xml" ContentType="application/vnd.openxmlformats-officedocument.drawing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480" yWindow="300" windowWidth="18495" windowHeight="11700"/>
  </bookViews>
  <sheets>
    <sheet name="Synthèse" sheetId="8" r:id="rId1"/>
    <sheet name="Ep0A" sheetId="33" r:id="rId2"/>
    <sheet name="Ep1A" sheetId="16" r:id="rId3"/>
    <sheet name="Ep2A" sheetId="24" r:id="rId4"/>
    <sheet name="Ep3A" sheetId="28" r:id="rId5"/>
    <sheet name="Ep4A" sheetId="31" r:id="rId6"/>
    <sheet name="Ep0B" sheetId="34" r:id="rId7"/>
    <sheet name="Ep1B" sheetId="22" r:id="rId8"/>
    <sheet name="Ep2B" sheetId="26" r:id="rId9"/>
    <sheet name="Ep3B" sheetId="30" r:id="rId10"/>
    <sheet name="Ep4B" sheetId="32" r:id="rId11"/>
  </sheets>
  <calcPr calcId="125725"/>
</workbook>
</file>

<file path=xl/calcChain.xml><?xml version="1.0" encoding="utf-8"?>
<calcChain xmlns="http://schemas.openxmlformats.org/spreadsheetml/2006/main">
  <c r="Q51" i="8"/>
  <c r="P51"/>
  <c r="N51"/>
  <c r="M51"/>
  <c r="L51"/>
  <c r="J51"/>
  <c r="I51"/>
  <c r="H51"/>
  <c r="G51"/>
  <c r="F51"/>
  <c r="Q47"/>
  <c r="P47"/>
  <c r="N47"/>
  <c r="M47"/>
  <c r="L47"/>
  <c r="J47"/>
  <c r="I47"/>
  <c r="H47"/>
  <c r="G47"/>
  <c r="F47"/>
  <c r="Q40"/>
  <c r="P40"/>
  <c r="N40"/>
  <c r="M40"/>
  <c r="L40"/>
  <c r="J40"/>
  <c r="I40"/>
  <c r="H40"/>
  <c r="G40"/>
  <c r="F40"/>
  <c r="H36"/>
  <c r="Q36"/>
  <c r="P36"/>
  <c r="N36"/>
  <c r="M36"/>
  <c r="L36"/>
  <c r="J36"/>
  <c r="I36"/>
  <c r="G36"/>
  <c r="F36"/>
  <c r="E51"/>
  <c r="E50"/>
  <c r="E49"/>
  <c r="E48"/>
  <c r="E47"/>
  <c r="E40"/>
  <c r="E39"/>
  <c r="E38"/>
  <c r="E37"/>
  <c r="E36"/>
  <c r="D51"/>
  <c r="Q50"/>
  <c r="P50"/>
  <c r="N50"/>
  <c r="M50"/>
  <c r="L50"/>
  <c r="J50"/>
  <c r="I50"/>
  <c r="H50"/>
  <c r="G50"/>
  <c r="F50"/>
  <c r="D50"/>
  <c r="Q49"/>
  <c r="P49"/>
  <c r="N49"/>
  <c r="M49"/>
  <c r="L49"/>
  <c r="J49"/>
  <c r="I49"/>
  <c r="H49"/>
  <c r="G49"/>
  <c r="F49"/>
  <c r="D49"/>
  <c r="Q48"/>
  <c r="P48"/>
  <c r="N48"/>
  <c r="M48"/>
  <c r="L48"/>
  <c r="J48"/>
  <c r="I48"/>
  <c r="H48"/>
  <c r="G48"/>
  <c r="F48"/>
  <c r="D48"/>
  <c r="D47"/>
  <c r="D40"/>
  <c r="Q39"/>
  <c r="P39"/>
  <c r="N39"/>
  <c r="M39"/>
  <c r="L39"/>
  <c r="J39"/>
  <c r="I39"/>
  <c r="H39"/>
  <c r="G39"/>
  <c r="F39"/>
  <c r="D39"/>
  <c r="Q38"/>
  <c r="P38"/>
  <c r="N38"/>
  <c r="M38"/>
  <c r="L38"/>
  <c r="J38"/>
  <c r="I38"/>
  <c r="H38"/>
  <c r="G38"/>
  <c r="F38"/>
  <c r="D38"/>
  <c r="Q37"/>
  <c r="P37"/>
  <c r="N37"/>
  <c r="M37"/>
  <c r="L37"/>
  <c r="J37"/>
  <c r="I37"/>
  <c r="H37"/>
  <c r="G37"/>
  <c r="F37"/>
  <c r="D37"/>
  <c r="D36"/>
  <c r="K37" l="1"/>
  <c r="O36"/>
  <c r="O37"/>
  <c r="O38"/>
  <c r="O39"/>
  <c r="O40"/>
  <c r="O47"/>
  <c r="O48"/>
  <c r="O49"/>
  <c r="O50"/>
  <c r="O51"/>
  <c r="K36"/>
  <c r="K38"/>
  <c r="K39"/>
  <c r="K40"/>
  <c r="K47"/>
  <c r="K48"/>
  <c r="K49"/>
  <c r="K50"/>
  <c r="K51"/>
</calcChain>
</file>

<file path=xl/sharedStrings.xml><?xml version="1.0" encoding="utf-8"?>
<sst xmlns="http://schemas.openxmlformats.org/spreadsheetml/2006/main" count="1478" uniqueCount="127">
  <si>
    <t>Table de production</t>
  </si>
  <si>
    <t>Age</t>
  </si>
  <si>
    <t>Hdom</t>
  </si>
  <si>
    <t>Accroissements</t>
  </si>
  <si>
    <t>Nha</t>
  </si>
  <si>
    <t>Cg</t>
  </si>
  <si>
    <t>Gha</t>
  </si>
  <si>
    <t>Vha</t>
  </si>
  <si>
    <t>ACG</t>
  </si>
  <si>
    <t>AMG</t>
  </si>
  <si>
    <t>ACV</t>
  </si>
  <si>
    <t>AMV</t>
  </si>
  <si>
    <t>PTV</t>
  </si>
  <si>
    <t>Total</t>
  </si>
  <si>
    <t>h/d</t>
  </si>
  <si>
    <t>ACC</t>
  </si>
  <si>
    <t>AMC</t>
  </si>
  <si>
    <t>Recettes</t>
  </si>
  <si>
    <t>Accroissements et stabilité</t>
  </si>
  <si>
    <t>20-40</t>
  </si>
  <si>
    <t>40-60</t>
  </si>
  <si>
    <t>60-70</t>
  </si>
  <si>
    <t>70-90</t>
  </si>
  <si>
    <t>90-120</t>
  </si>
  <si>
    <t>120-150</t>
  </si>
  <si>
    <t>150-180</t>
  </si>
  <si>
    <t>180+</t>
  </si>
  <si>
    <t>-</t>
  </si>
  <si>
    <t>Classe I (30 m à 50 ans)</t>
  </si>
  <si>
    <t>Classe III (24 m à 50 ans)</t>
  </si>
  <si>
    <t>Classe II (27 m à 50 ans)</t>
  </si>
  <si>
    <t>Dist</t>
  </si>
  <si>
    <t>Distribution des volumes produits par classe de grosseur</t>
  </si>
  <si>
    <t>Classes de grosseur - Volume sur pied</t>
  </si>
  <si>
    <t>Classes de grosseur - Volume prélevés</t>
  </si>
  <si>
    <t>Cloisonnement: 1 ligne sur 11</t>
  </si>
  <si>
    <t>Classe IV (21 m à 50 ans)</t>
  </si>
  <si>
    <t>Classe 0 (33 m à 50 ans)</t>
  </si>
  <si>
    <t>Classe de productivité</t>
  </si>
  <si>
    <t>IV</t>
  </si>
  <si>
    <t>III</t>
  </si>
  <si>
    <t>II</t>
  </si>
  <si>
    <t>I</t>
  </si>
  <si>
    <t>Age cible</t>
  </si>
  <si>
    <t>Classe</t>
  </si>
  <si>
    <t>H50</t>
  </si>
  <si>
    <t>1ère éclaircie</t>
  </si>
  <si>
    <t>Productivité</t>
  </si>
  <si>
    <t>Nouvelles normes sylvicoles pour les peuplements purs équiennes d'épicéa</t>
  </si>
  <si>
    <t>Caractéristique de la coupe rase</t>
  </si>
  <si>
    <t>Caractéristique  de la coupe rase</t>
  </si>
  <si>
    <r>
      <t xml:space="preserve">VA </t>
    </r>
    <r>
      <rPr>
        <b/>
        <sz val="12"/>
        <color theme="1"/>
        <rFont val="Calibri"/>
        <family val="2"/>
      </rPr>
      <t>Ecl</t>
    </r>
  </si>
  <si>
    <r>
      <t xml:space="preserve">VA </t>
    </r>
    <r>
      <rPr>
        <b/>
        <sz val="12"/>
        <color theme="1"/>
        <rFont val="Calibri"/>
        <family val="2"/>
      </rPr>
      <t>Mab</t>
    </r>
  </si>
  <si>
    <r>
      <t>VA</t>
    </r>
    <r>
      <rPr>
        <b/>
        <sz val="12"/>
        <color theme="1"/>
        <rFont val="Calibri"/>
        <family val="2"/>
      </rPr>
      <t xml:space="preserve"> Total</t>
    </r>
  </si>
  <si>
    <t>Classe de productivité 0, plantation 2.5 x 2 m</t>
  </si>
  <si>
    <t>Classe de productivité 0, plantation 2 x 2 m</t>
  </si>
  <si>
    <t>Classe de productivité 1, plantation 2.5 x 2 m</t>
  </si>
  <si>
    <t>Classe de productivité 2, plantation 2.5 x 2 m</t>
  </si>
  <si>
    <t>Classe de productivité 3, plantation 2.5 x 2 m</t>
  </si>
  <si>
    <t>Classe de productivité 4, plantation 2.5 x 2 m</t>
  </si>
  <si>
    <t>Classe de productivité 1, plantation 2 x 2 m</t>
  </si>
  <si>
    <t>Classe de productivité 2, plantation 2 x 2 m</t>
  </si>
  <si>
    <t>Classe de productivité 3, plantation 2 x 2 m</t>
  </si>
  <si>
    <t>Classe de productivité 4, plantation 2 x 2 m</t>
  </si>
  <si>
    <t>Ecl</t>
  </si>
  <si>
    <t>années</t>
  </si>
  <si>
    <t>m</t>
  </si>
  <si>
    <t>N/ha</t>
  </si>
  <si>
    <t>cm</t>
  </si>
  <si>
    <t>m²/ha</t>
  </si>
  <si>
    <t>m³/ha</t>
  </si>
  <si>
    <t>cm/ha/an</t>
  </si>
  <si>
    <t>m²/ha/an</t>
  </si>
  <si>
    <t>m³/ha/an</t>
  </si>
  <si>
    <t>%</t>
  </si>
  <si>
    <t>€ /ha</t>
  </si>
  <si>
    <t>cm/an</t>
  </si>
  <si>
    <t>J. Perin, 2016</t>
  </si>
  <si>
    <t>(j.perin@ulg.ac.be)</t>
  </si>
  <si>
    <t>Accord-Cadre IV (2014 -2019)</t>
  </si>
  <si>
    <t>Essence : épicéa commun</t>
  </si>
  <si>
    <t>Plantation : 2.5 x 2 (90% de reprise)</t>
  </si>
  <si>
    <t>Cloisonnement : 1 ligne sur 9</t>
  </si>
  <si>
    <t>Rotation : 6 ans</t>
  </si>
  <si>
    <t>Taux d'actualisation : 2 %</t>
  </si>
  <si>
    <t>Caractéristiques :</t>
  </si>
  <si>
    <t>Plantation : 2 x 2 (90% de reprise)</t>
  </si>
  <si>
    <t>de Recherche et de Vulgarisation forestières</t>
  </si>
  <si>
    <t>Variables</t>
  </si>
  <si>
    <t>Description</t>
  </si>
  <si>
    <t>Hauteur dominante (moyenne des hauteur des 100 plus gros arbres à l'hectare) en m</t>
  </si>
  <si>
    <t>Nombre de tige par hectare</t>
  </si>
  <si>
    <t>Circonférence à hauteur de poitrine de l'arbre de surface terrière moyenne en cm</t>
  </si>
  <si>
    <t>Surface terrière totale par hectare (m²/ha)</t>
  </si>
  <si>
    <t>Volume sur pied total par hectare à la recoupe 22 cm (m³/ha)</t>
  </si>
  <si>
    <t>Accroissement courant en circonférence à hauteur de poitrine (cm/an)</t>
  </si>
  <si>
    <t>Accroissement courant en surface terrière (m²/ha/an)</t>
  </si>
  <si>
    <t>Accroissement moyen en surface terrière depuis la plantation (m²/ha/an)</t>
  </si>
  <si>
    <t>Accroissement courant en volume (m³/ha/an)</t>
  </si>
  <si>
    <t>Accroissement moyen en volume depuis la plantation (m³/ha/an)</t>
  </si>
  <si>
    <t>Production totale en volume depuis la plantation (m³/ha)</t>
  </si>
  <si>
    <t>Coefficient de stabilité des peuplements: hauteur dominante divisée par le diamètre moyen</t>
  </si>
  <si>
    <t>% Ecl</t>
  </si>
  <si>
    <t>Pourcentage du nombre de tige sur pied prélevé lors de l'éclaircie</t>
  </si>
  <si>
    <t>Distance moyenne en mètre entre les arbres après l'éclaircie</t>
  </si>
  <si>
    <t>VMV</t>
  </si>
  <si>
    <t>VMP</t>
  </si>
  <si>
    <t>VMA</t>
  </si>
  <si>
    <t>Age depuis la plantation (on considère que les plants sont âgé de 4 ans lors de la plantation)</t>
  </si>
  <si>
    <t>Avant prélèvement</t>
  </si>
  <si>
    <t>Prélèvement</t>
  </si>
  <si>
    <t>Après prélèvement</t>
  </si>
  <si>
    <t>Somme des VMA des prélèvements précédents et du volume sur pied de l'année en cours (€ /ha)</t>
  </si>
  <si>
    <t>VMA totale</t>
  </si>
  <si>
    <t>VMV*</t>
  </si>
  <si>
    <t>VMP*</t>
  </si>
  <si>
    <t>VMA*</t>
  </si>
  <si>
    <t>VMA Totale*</t>
  </si>
  <si>
    <t>Valeur marchande estimée actualisée à l'année de la plantation (taux d'actualisation de 2%) en € /ha</t>
  </si>
  <si>
    <t>Valeur marchande du volume sur pied (€ /ha) estimée sur base des prix de ventes observés entre 2012 et 2014</t>
  </si>
  <si>
    <t>Valeur marchande des prélèvements (€ /ha) estimée sur base des prix de ventes observés entre 2012 et 2014</t>
  </si>
  <si>
    <t>*Les chiffres présentés représentent une estimation moyenne et n'engagent en rien les auteurs de ces outils</t>
  </si>
  <si>
    <t>1. Evolution de la hauteur dominante selon les 5 classes de productivité</t>
  </si>
  <si>
    <t>2. Synthèse des nouvelles normes</t>
  </si>
  <si>
    <t>2.1. Ecartement à la plantation : 2.5 x 2 m</t>
  </si>
  <si>
    <t>2.2. Ecartement à la plantation : 2 x 2 m</t>
  </si>
  <si>
    <t>3. Légende des tables de production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</si>
</sst>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3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Times New Roman"/>
      <family val="1"/>
    </font>
    <font>
      <u/>
      <sz val="20"/>
      <color theme="1"/>
      <name val="Calibri"/>
      <family val="2"/>
      <scheme val="minor"/>
    </font>
    <font>
      <sz val="9"/>
      <color theme="1"/>
      <name val="Times New Roman"/>
      <family val="1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5" fillId="0" borderId="0" applyNumberFormat="0" applyFill="0" applyBorder="0" applyAlignment="0" applyProtection="0"/>
    <xf numFmtId="0" fontId="6" fillId="0" borderId="8" applyNumberFormat="0" applyFill="0" applyAlignment="0" applyProtection="0"/>
    <xf numFmtId="0" fontId="7" fillId="0" borderId="9" applyNumberFormat="0" applyFill="0" applyAlignment="0" applyProtection="0"/>
    <xf numFmtId="0" fontId="8" fillId="0" borderId="10" applyNumberFormat="0" applyFill="0" applyAlignment="0" applyProtection="0"/>
    <xf numFmtId="0" fontId="8" fillId="0" borderId="0" applyNumberFormat="0" applyFill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11" applyNumberFormat="0" applyAlignment="0" applyProtection="0"/>
    <xf numFmtId="0" fontId="13" fillId="7" borderId="12" applyNumberFormat="0" applyAlignment="0" applyProtection="0"/>
    <xf numFmtId="0" fontId="14" fillId="7" borderId="11" applyNumberFormat="0" applyAlignment="0" applyProtection="0"/>
    <xf numFmtId="0" fontId="15" fillId="0" borderId="13" applyNumberFormat="0" applyFill="0" applyAlignment="0" applyProtection="0"/>
    <xf numFmtId="0" fontId="16" fillId="8" borderId="14" applyNumberFormat="0" applyAlignment="0" applyProtection="0"/>
    <xf numFmtId="0" fontId="17" fillId="0" borderId="0" applyNumberFormat="0" applyFill="0" applyBorder="0" applyAlignment="0" applyProtection="0"/>
    <xf numFmtId="0" fontId="4" fillId="9" borderId="15" applyNumberFormat="0" applyFont="0" applyAlignment="0" applyProtection="0"/>
    <xf numFmtId="0" fontId="18" fillId="0" borderId="0" applyNumberFormat="0" applyFill="0" applyBorder="0" applyAlignment="0" applyProtection="0"/>
    <xf numFmtId="0" fontId="1" fillId="0" borderId="16" applyNumberFormat="0" applyFill="0" applyAlignment="0" applyProtection="0"/>
    <xf numFmtId="0" fontId="19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19" fillId="25" borderId="0" applyNumberFormat="0" applyBorder="0" applyAlignment="0" applyProtection="0"/>
    <xf numFmtId="0" fontId="19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19" fillId="29" borderId="0" applyNumberFormat="0" applyBorder="0" applyAlignment="0" applyProtection="0"/>
    <xf numFmtId="0" fontId="19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19" fillId="33" borderId="0" applyNumberFormat="0" applyBorder="0" applyAlignment="0" applyProtection="0"/>
  </cellStyleXfs>
  <cellXfs count="20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165" fontId="0" fillId="0" borderId="0" xfId="0" applyNumberForma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1" fillId="0" borderId="0" xfId="0" applyFont="1"/>
    <xf numFmtId="0" fontId="0" fillId="0" borderId="0" xfId="0" applyFill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" fontId="0" fillId="0" borderId="0" xfId="0" applyNumberFormat="1"/>
    <xf numFmtId="0" fontId="0" fillId="0" borderId="0" xfId="0"/>
    <xf numFmtId="1" fontId="0" fillId="0" borderId="5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65" fontId="0" fillId="0" borderId="6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" fontId="0" fillId="0" borderId="6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1" fillId="0" borderId="1" xfId="0" quotePrefix="1" applyNumberFormat="1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20" fillId="0" borderId="0" xfId="0" applyFont="1" applyAlignment="1">
      <alignment horizontal="left"/>
    </xf>
    <xf numFmtId="0" fontId="0" fillId="0" borderId="0" xfId="0" applyBorder="1" applyAlignment="1">
      <alignment horizontal="center"/>
    </xf>
    <xf numFmtId="165" fontId="0" fillId="0" borderId="0" xfId="0" applyNumberFormat="1" applyBorder="1" applyAlignment="1">
      <alignment horizontal="center"/>
    </xf>
    <xf numFmtId="0" fontId="21" fillId="0" borderId="0" xfId="0" applyFont="1" applyBorder="1" applyAlignment="1">
      <alignment horizontal="center"/>
    </xf>
    <xf numFmtId="0" fontId="26" fillId="0" borderId="21" xfId="0" applyFont="1" applyFill="1" applyBorder="1" applyAlignment="1">
      <alignment horizontal="center"/>
    </xf>
    <xf numFmtId="0" fontId="22" fillId="0" borderId="21" xfId="0" applyFont="1" applyFill="1" applyBorder="1" applyAlignment="1">
      <alignment horizontal="center"/>
    </xf>
    <xf numFmtId="1" fontId="22" fillId="0" borderId="21" xfId="0" applyNumberFormat="1" applyFont="1" applyFill="1" applyBorder="1" applyAlignment="1">
      <alignment horizontal="center"/>
    </xf>
    <xf numFmtId="1" fontId="22" fillId="0" borderId="0" xfId="0" applyNumberFormat="1" applyFont="1" applyFill="1" applyBorder="1" applyAlignment="1">
      <alignment horizontal="center"/>
    </xf>
    <xf numFmtId="1" fontId="22" fillId="0" borderId="22" xfId="0" applyNumberFormat="1" applyFont="1" applyFill="1" applyBorder="1" applyAlignment="1">
      <alignment horizontal="center"/>
    </xf>
    <xf numFmtId="165" fontId="22" fillId="0" borderId="21" xfId="0" applyNumberFormat="1" applyFont="1" applyFill="1" applyBorder="1" applyAlignment="1">
      <alignment horizontal="center"/>
    </xf>
    <xf numFmtId="165" fontId="22" fillId="0" borderId="0" xfId="0" applyNumberFormat="1" applyFont="1" applyFill="1" applyBorder="1" applyAlignment="1">
      <alignment horizontal="center"/>
    </xf>
    <xf numFmtId="0" fontId="26" fillId="2" borderId="21" xfId="0" applyFont="1" applyFill="1" applyBorder="1" applyAlignment="1">
      <alignment horizontal="center"/>
    </xf>
    <xf numFmtId="0" fontId="22" fillId="2" borderId="21" xfId="0" applyFont="1" applyFill="1" applyBorder="1" applyAlignment="1">
      <alignment horizontal="center"/>
    </xf>
    <xf numFmtId="1" fontId="22" fillId="2" borderId="21" xfId="0" applyNumberFormat="1" applyFont="1" applyFill="1" applyBorder="1" applyAlignment="1">
      <alignment horizontal="center"/>
    </xf>
    <xf numFmtId="1" fontId="22" fillId="2" borderId="0" xfId="0" applyNumberFormat="1" applyFont="1" applyFill="1" applyBorder="1" applyAlignment="1">
      <alignment horizontal="center"/>
    </xf>
    <xf numFmtId="1" fontId="22" fillId="2" borderId="22" xfId="0" applyNumberFormat="1" applyFont="1" applyFill="1" applyBorder="1" applyAlignment="1">
      <alignment horizontal="center"/>
    </xf>
    <xf numFmtId="165" fontId="22" fillId="2" borderId="21" xfId="0" applyNumberFormat="1" applyFont="1" applyFill="1" applyBorder="1" applyAlignment="1">
      <alignment horizontal="center"/>
    </xf>
    <xf numFmtId="165" fontId="22" fillId="2" borderId="0" xfId="0" applyNumberFormat="1" applyFont="1" applyFill="1" applyBorder="1" applyAlignment="1">
      <alignment horizontal="center"/>
    </xf>
    <xf numFmtId="0" fontId="26" fillId="0" borderId="23" xfId="0" applyFont="1" applyFill="1" applyBorder="1" applyAlignment="1">
      <alignment horizontal="center"/>
    </xf>
    <xf numFmtId="0" fontId="22" fillId="0" borderId="23" xfId="0" applyFont="1" applyFill="1" applyBorder="1" applyAlignment="1">
      <alignment horizontal="center"/>
    </xf>
    <xf numFmtId="1" fontId="22" fillId="0" borderId="23" xfId="0" applyNumberFormat="1" applyFont="1" applyFill="1" applyBorder="1" applyAlignment="1">
      <alignment horizontal="center"/>
    </xf>
    <xf numFmtId="1" fontId="22" fillId="0" borderId="19" xfId="0" applyNumberFormat="1" applyFont="1" applyFill="1" applyBorder="1" applyAlignment="1">
      <alignment horizontal="center"/>
    </xf>
    <xf numFmtId="1" fontId="22" fillId="0" borderId="24" xfId="0" applyNumberFormat="1" applyFont="1" applyFill="1" applyBorder="1" applyAlignment="1">
      <alignment horizontal="center"/>
    </xf>
    <xf numFmtId="165" fontId="22" fillId="0" borderId="23" xfId="0" applyNumberFormat="1" applyFont="1" applyFill="1" applyBorder="1" applyAlignment="1">
      <alignment horizontal="center"/>
    </xf>
    <xf numFmtId="165" fontId="22" fillId="0" borderId="19" xfId="0" applyNumberFormat="1" applyFont="1" applyFill="1" applyBorder="1" applyAlignment="1">
      <alignment horizontal="center"/>
    </xf>
    <xf numFmtId="0" fontId="22" fillId="0" borderId="21" xfId="0" applyFont="1" applyBorder="1" applyAlignment="1">
      <alignment horizontal="center"/>
    </xf>
    <xf numFmtId="0" fontId="22" fillId="0" borderId="23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5" fillId="0" borderId="5" xfId="0" applyFont="1" applyBorder="1" applyAlignment="1">
      <alignment horizontal="center"/>
    </xf>
    <xf numFmtId="0" fontId="25" fillId="0" borderId="6" xfId="0" applyFont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2" borderId="6" xfId="0" applyFont="1" applyFill="1" applyBorder="1" applyAlignment="1">
      <alignment horizontal="center"/>
    </xf>
    <xf numFmtId="0" fontId="26" fillId="0" borderId="17" xfId="0" applyFont="1" applyBorder="1" applyAlignment="1">
      <alignment horizontal="center" wrapText="1"/>
    </xf>
    <xf numFmtId="0" fontId="26" fillId="0" borderId="20" xfId="0" applyFont="1" applyBorder="1" applyAlignment="1">
      <alignment horizontal="center" wrapText="1"/>
    </xf>
    <xf numFmtId="0" fontId="26" fillId="0" borderId="18" xfId="0" applyFont="1" applyBorder="1" applyAlignment="1">
      <alignment horizontal="center" wrapText="1"/>
    </xf>
    <xf numFmtId="0" fontId="22" fillId="0" borderId="22" xfId="0" applyFont="1" applyFill="1" applyBorder="1" applyAlignment="1">
      <alignment horizontal="center"/>
    </xf>
    <xf numFmtId="0" fontId="22" fillId="2" borderId="22" xfId="0" applyFont="1" applyFill="1" applyBorder="1" applyAlignment="1">
      <alignment horizontal="center"/>
    </xf>
    <xf numFmtId="0" fontId="22" fillId="0" borderId="24" xfId="0" applyFont="1" applyFill="1" applyBorder="1" applyAlignment="1">
      <alignment horizontal="center"/>
    </xf>
    <xf numFmtId="0" fontId="28" fillId="0" borderId="0" xfId="0" applyFont="1" applyAlignment="1">
      <alignment horizontal="center" vertical="top"/>
    </xf>
    <xf numFmtId="0" fontId="28" fillId="0" borderId="23" xfId="0" applyFont="1" applyBorder="1" applyAlignment="1">
      <alignment horizontal="center" vertical="top" wrapText="1"/>
    </xf>
    <xf numFmtId="0" fontId="28" fillId="0" borderId="24" xfId="0" applyFont="1" applyBorder="1" applyAlignment="1">
      <alignment horizontal="center" vertical="top" wrapText="1"/>
    </xf>
    <xf numFmtId="0" fontId="28" fillId="0" borderId="19" xfId="0" applyFont="1" applyBorder="1" applyAlignment="1">
      <alignment horizontal="center" vertical="top" wrapText="1"/>
    </xf>
    <xf numFmtId="3" fontId="22" fillId="0" borderId="0" xfId="0" applyNumberFormat="1" applyFont="1" applyFill="1" applyBorder="1" applyAlignment="1">
      <alignment horizontal="center"/>
    </xf>
    <xf numFmtId="3" fontId="22" fillId="2" borderId="0" xfId="0" applyNumberFormat="1" applyFont="1" applyFill="1" applyBorder="1" applyAlignment="1">
      <alignment horizontal="center"/>
    </xf>
    <xf numFmtId="3" fontId="22" fillId="0" borderId="19" xfId="0" applyNumberFormat="1" applyFont="1" applyFill="1" applyBorder="1" applyAlignment="1">
      <alignment horizontal="center"/>
    </xf>
    <xf numFmtId="3" fontId="22" fillId="0" borderId="0" xfId="0" applyNumberFormat="1" applyFont="1" applyFill="1" applyBorder="1" applyAlignment="1">
      <alignment horizontal="right"/>
    </xf>
    <xf numFmtId="3" fontId="22" fillId="2" borderId="0" xfId="0" applyNumberFormat="1" applyFont="1" applyFill="1" applyBorder="1" applyAlignment="1">
      <alignment horizontal="right"/>
    </xf>
    <xf numFmtId="3" fontId="22" fillId="0" borderId="19" xfId="0" applyNumberFormat="1" applyFont="1" applyFill="1" applyBorder="1" applyAlignment="1">
      <alignment horizontal="right"/>
    </xf>
    <xf numFmtId="3" fontId="22" fillId="0" borderId="21" xfId="0" applyNumberFormat="1" applyFont="1" applyFill="1" applyBorder="1" applyAlignment="1">
      <alignment horizontal="right"/>
    </xf>
    <xf numFmtId="3" fontId="22" fillId="0" borderId="22" xfId="0" applyNumberFormat="1" applyFont="1" applyFill="1" applyBorder="1" applyAlignment="1">
      <alignment horizontal="right"/>
    </xf>
    <xf numFmtId="3" fontId="22" fillId="2" borderId="21" xfId="0" applyNumberFormat="1" applyFont="1" applyFill="1" applyBorder="1" applyAlignment="1">
      <alignment horizontal="right"/>
    </xf>
    <xf numFmtId="3" fontId="22" fillId="2" borderId="22" xfId="0" applyNumberFormat="1" applyFont="1" applyFill="1" applyBorder="1" applyAlignment="1">
      <alignment horizontal="right"/>
    </xf>
    <xf numFmtId="3" fontId="22" fillId="0" borderId="23" xfId="0" applyNumberFormat="1" applyFont="1" applyFill="1" applyBorder="1" applyAlignment="1">
      <alignment horizontal="right"/>
    </xf>
    <xf numFmtId="3" fontId="22" fillId="0" borderId="24" xfId="0" applyNumberFormat="1" applyFont="1" applyFill="1" applyBorder="1" applyAlignment="1">
      <alignment horizontal="right"/>
    </xf>
    <xf numFmtId="1" fontId="22" fillId="0" borderId="22" xfId="0" applyNumberFormat="1" applyFont="1" applyBorder="1" applyAlignment="1">
      <alignment horizontal="center"/>
    </xf>
    <xf numFmtId="1" fontId="22" fillId="0" borderId="24" xfId="0" applyNumberFormat="1" applyFont="1" applyBorder="1" applyAlignment="1">
      <alignment horizontal="center"/>
    </xf>
    <xf numFmtId="0" fontId="0" fillId="0" borderId="21" xfId="0" applyBorder="1" applyAlignment="1">
      <alignment horizontal="center"/>
    </xf>
    <xf numFmtId="3" fontId="0" fillId="0" borderId="6" xfId="0" applyNumberFormat="1" applyFont="1" applyBorder="1" applyAlignment="1">
      <alignment horizontal="center"/>
    </xf>
    <xf numFmtId="3" fontId="0" fillId="0" borderId="6" xfId="0" applyNumberForma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3" fontId="0" fillId="0" borderId="5" xfId="0" applyNumberFormat="1" applyBorder="1" applyAlignment="1">
      <alignment horizontal="center"/>
    </xf>
    <xf numFmtId="0" fontId="30" fillId="0" borderId="7" xfId="0" applyFont="1" applyBorder="1" applyAlignment="1">
      <alignment horizontal="center" vertical="top" wrapText="1"/>
    </xf>
    <xf numFmtId="0" fontId="31" fillId="0" borderId="7" xfId="0" applyFont="1" applyBorder="1" applyAlignment="1">
      <alignment horizontal="center"/>
    </xf>
    <xf numFmtId="0" fontId="3" fillId="0" borderId="7" xfId="0" applyFont="1" applyBorder="1" applyAlignment="1">
      <alignment horizontal="center" wrapText="1"/>
    </xf>
    <xf numFmtId="0" fontId="31" fillId="0" borderId="0" xfId="0" applyFont="1"/>
    <xf numFmtId="0" fontId="3" fillId="0" borderId="5" xfId="0" applyFont="1" applyBorder="1" applyAlignment="1">
      <alignment horizontal="center"/>
    </xf>
    <xf numFmtId="0" fontId="32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0" fontId="0" fillId="2" borderId="6" xfId="0" applyFill="1" applyBorder="1" applyAlignment="1">
      <alignment horizontal="center"/>
    </xf>
    <xf numFmtId="165" fontId="0" fillId="2" borderId="6" xfId="0" applyNumberFormat="1" applyFill="1" applyBorder="1" applyAlignment="1">
      <alignment horizontal="center"/>
    </xf>
    <xf numFmtId="1" fontId="0" fillId="2" borderId="6" xfId="0" applyNumberFormat="1" applyFill="1" applyBorder="1" applyAlignment="1">
      <alignment horizontal="center"/>
    </xf>
    <xf numFmtId="2" fontId="0" fillId="2" borderId="6" xfId="0" applyNumberFormat="1" applyFill="1" applyBorder="1" applyAlignment="1">
      <alignment horizontal="center"/>
    </xf>
    <xf numFmtId="3" fontId="0" fillId="2" borderId="6" xfId="0" applyNumberForma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165" fontId="0" fillId="2" borderId="7" xfId="0" applyNumberFormat="1" applyFill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2" fontId="0" fillId="2" borderId="7" xfId="0" applyNumberFormat="1" applyFill="1" applyBorder="1" applyAlignment="1">
      <alignment horizontal="center"/>
    </xf>
    <xf numFmtId="3" fontId="0" fillId="2" borderId="7" xfId="0" applyNumberFormat="1" applyFill="1" applyBorder="1" applyAlignment="1">
      <alignment horizontal="center"/>
    </xf>
    <xf numFmtId="1" fontId="0" fillId="2" borderId="7" xfId="0" quotePrefix="1" applyNumberFormat="1" applyFill="1" applyBorder="1" applyAlignment="1">
      <alignment horizontal="center"/>
    </xf>
    <xf numFmtId="165" fontId="0" fillId="2" borderId="7" xfId="0" quotePrefix="1" applyNumberFormat="1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3" fontId="0" fillId="2" borderId="6" xfId="0" applyNumberFormat="1" applyFont="1" applyFill="1" applyBorder="1" applyAlignment="1">
      <alignment horizontal="center"/>
    </xf>
    <xf numFmtId="1" fontId="0" fillId="2" borderId="6" xfId="0" applyNumberFormat="1" applyFont="1" applyFill="1" applyBorder="1" applyAlignment="1">
      <alignment horizontal="center"/>
    </xf>
    <xf numFmtId="3" fontId="0" fillId="2" borderId="7" xfId="0" applyNumberFormat="1" applyFont="1" applyFill="1" applyBorder="1" applyAlignment="1">
      <alignment horizontal="center"/>
    </xf>
    <xf numFmtId="1" fontId="0" fillId="2" borderId="7" xfId="0" applyNumberFormat="1" applyFont="1" applyFill="1" applyBorder="1" applyAlignment="1">
      <alignment horizontal="center"/>
    </xf>
    <xf numFmtId="0" fontId="23" fillId="0" borderId="6" xfId="0" applyFont="1" applyBorder="1" applyAlignment="1">
      <alignment horizontal="center"/>
    </xf>
    <xf numFmtId="0" fontId="0" fillId="0" borderId="0" xfId="0"/>
    <xf numFmtId="0" fontId="22" fillId="0" borderId="0" xfId="0" applyFont="1" applyAlignment="1">
      <alignment horizontal="right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35" fillId="0" borderId="0" xfId="0" applyFont="1"/>
    <xf numFmtId="0" fontId="36" fillId="0" borderId="0" xfId="0" applyFont="1" applyAlignment="1"/>
    <xf numFmtId="0" fontId="36" fillId="0" borderId="0" xfId="0" applyFont="1" applyAlignment="1">
      <alignment horizontal="center"/>
    </xf>
    <xf numFmtId="0" fontId="35" fillId="0" borderId="0" xfId="0" applyFont="1" applyAlignment="1">
      <alignment horizontal="left"/>
    </xf>
    <xf numFmtId="0" fontId="37" fillId="0" borderId="0" xfId="0" applyFont="1" applyAlignment="1">
      <alignment horizontal="left"/>
    </xf>
    <xf numFmtId="0" fontId="38" fillId="0" borderId="0" xfId="0" applyFont="1" applyAlignment="1">
      <alignment horizontal="left"/>
    </xf>
    <xf numFmtId="0" fontId="33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3" fillId="0" borderId="1" xfId="0" applyFont="1" applyBorder="1" applyAlignment="1">
      <alignment horizontal="center"/>
    </xf>
    <xf numFmtId="0" fontId="26" fillId="0" borderId="5" xfId="0" applyFont="1" applyBorder="1" applyAlignment="1">
      <alignment horizontal="center"/>
    </xf>
    <xf numFmtId="0" fontId="22" fillId="0" borderId="5" xfId="0" applyFont="1" applyBorder="1" applyAlignment="1">
      <alignment horizontal="center"/>
    </xf>
    <xf numFmtId="0" fontId="22" fillId="0" borderId="5" xfId="0" applyFont="1" applyBorder="1" applyAlignment="1"/>
    <xf numFmtId="0" fontId="1" fillId="2" borderId="21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0" fillId="2" borderId="21" xfId="0" applyFill="1" applyBorder="1" applyAlignment="1"/>
    <xf numFmtId="0" fontId="0" fillId="2" borderId="0" xfId="0" applyFill="1" applyBorder="1" applyAlignment="1"/>
    <xf numFmtId="0" fontId="0" fillId="2" borderId="22" xfId="0" applyFill="1" applyBorder="1" applyAlignment="1"/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0" fillId="0" borderId="23" xfId="0" applyBorder="1" applyAlignment="1"/>
    <xf numFmtId="0" fontId="0" fillId="0" borderId="19" xfId="0" applyBorder="1" applyAlignment="1"/>
    <xf numFmtId="0" fontId="0" fillId="0" borderId="24" xfId="0" applyBorder="1" applyAlignment="1"/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0" borderId="21" xfId="0" applyBorder="1" applyAlignment="1"/>
    <xf numFmtId="0" fontId="0" fillId="0" borderId="0" xfId="0" applyBorder="1" applyAlignment="1"/>
    <xf numFmtId="0" fontId="0" fillId="0" borderId="22" xfId="0" applyBorder="1" applyAlignment="1"/>
    <xf numFmtId="0" fontId="1" fillId="2" borderId="23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0" fillId="2" borderId="23" xfId="0" applyFill="1" applyBorder="1" applyAlignment="1"/>
    <xf numFmtId="0" fontId="0" fillId="2" borderId="19" xfId="0" applyFill="1" applyBorder="1" applyAlignment="1"/>
    <xf numFmtId="0" fontId="0" fillId="2" borderId="24" xfId="0" applyFill="1" applyBorder="1" applyAlignment="1"/>
    <xf numFmtId="0" fontId="1" fillId="0" borderId="17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0" fillId="0" borderId="17" xfId="0" applyBorder="1" applyAlignment="1"/>
    <xf numFmtId="0" fontId="0" fillId="0" borderId="18" xfId="0" applyBorder="1" applyAlignment="1"/>
    <xf numFmtId="0" fontId="0" fillId="0" borderId="20" xfId="0" applyBorder="1" applyAlignment="1"/>
    <xf numFmtId="0" fontId="26" fillId="0" borderId="1" xfId="0" applyFont="1" applyBorder="1" applyAlignment="1">
      <alignment horizontal="center"/>
    </xf>
    <xf numFmtId="0" fontId="26" fillId="0" borderId="2" xfId="0" applyFont="1" applyBorder="1" applyAlignment="1"/>
    <xf numFmtId="0" fontId="26" fillId="0" borderId="1" xfId="0" applyFont="1" applyBorder="1" applyAlignment="1"/>
    <xf numFmtId="164" fontId="1" fillId="0" borderId="5" xfId="0" applyNumberFormat="1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164" fontId="1" fillId="0" borderId="3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wmf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5.jpe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5.jpe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5.jpe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5.jpe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5.jpe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5.jpe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5.jpeg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5.jpeg"/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5.jpeg"/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5.jpe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104773</xdr:colOff>
      <xdr:row>6</xdr:row>
      <xdr:rowOff>314324</xdr:rowOff>
    </xdr:from>
    <xdr:to>
      <xdr:col>17</xdr:col>
      <xdr:colOff>266698</xdr:colOff>
      <xdr:row>27</xdr:row>
      <xdr:rowOff>156209</xdr:rowOff>
    </xdr:to>
    <xdr:pic>
      <xdr:nvPicPr>
        <xdr:cNvPr id="10" name="Image 9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38523" y="1066799"/>
          <a:ext cx="5486400" cy="40233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133360</xdr:colOff>
      <xdr:row>1</xdr:row>
      <xdr:rowOff>104790</xdr:rowOff>
    </xdr:from>
    <xdr:to>
      <xdr:col>5</xdr:col>
      <xdr:colOff>393421</xdr:colOff>
      <xdr:row>3</xdr:row>
      <xdr:rowOff>79327</xdr:rowOff>
    </xdr:to>
    <xdr:pic>
      <xdr:nvPicPr>
        <xdr:cNvPr id="12" name="Image 11" descr="Logo414x80px.pn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14360" y="295290"/>
          <a:ext cx="2317461" cy="507937"/>
        </a:xfrm>
        <a:prstGeom prst="rect">
          <a:avLst/>
        </a:prstGeom>
      </xdr:spPr>
    </xdr:pic>
    <xdr:clientData/>
  </xdr:twoCellAnchor>
  <xdr:twoCellAnchor editAs="oneCell">
    <xdr:from>
      <xdr:col>13</xdr:col>
      <xdr:colOff>180976</xdr:colOff>
      <xdr:row>1</xdr:row>
      <xdr:rowOff>1</xdr:rowOff>
    </xdr:from>
    <xdr:to>
      <xdr:col>15</xdr:col>
      <xdr:colOff>76702</xdr:colOff>
      <xdr:row>3</xdr:row>
      <xdr:rowOff>188496</xdr:rowOff>
    </xdr:to>
    <xdr:pic>
      <xdr:nvPicPr>
        <xdr:cNvPr id="13" name="Image 12" descr="SPW_logo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800851" y="190501"/>
          <a:ext cx="962526" cy="721895"/>
        </a:xfrm>
        <a:prstGeom prst="rect">
          <a:avLst/>
        </a:prstGeom>
      </xdr:spPr>
    </xdr:pic>
    <xdr:clientData/>
  </xdr:twoCellAnchor>
  <xdr:twoCellAnchor editAs="oneCell">
    <xdr:from>
      <xdr:col>15</xdr:col>
      <xdr:colOff>266700</xdr:colOff>
      <xdr:row>1</xdr:row>
      <xdr:rowOff>9526</xdr:rowOff>
    </xdr:from>
    <xdr:to>
      <xdr:col>16</xdr:col>
      <xdr:colOff>403158</xdr:colOff>
      <xdr:row>3</xdr:row>
      <xdr:rowOff>131503</xdr:rowOff>
    </xdr:to>
    <xdr:pic>
      <xdr:nvPicPr>
        <xdr:cNvPr id="14" name="Image 13" descr="dgo3transnew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953375" y="200026"/>
          <a:ext cx="688908" cy="65537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200030</xdr:colOff>
      <xdr:row>39</xdr:row>
      <xdr:rowOff>57155</xdr:rowOff>
    </xdr:from>
    <xdr:to>
      <xdr:col>5</xdr:col>
      <xdr:colOff>279116</xdr:colOff>
      <xdr:row>41</xdr:row>
      <xdr:rowOff>184092</xdr:rowOff>
    </xdr:to>
    <xdr:pic>
      <xdr:nvPicPr>
        <xdr:cNvPr id="5" name="Image 4" descr="Logo414x80px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0030" y="7610480"/>
          <a:ext cx="2317461" cy="507937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</xdr:colOff>
      <xdr:row>38</xdr:row>
      <xdr:rowOff>133349</xdr:rowOff>
    </xdr:from>
    <xdr:to>
      <xdr:col>7</xdr:col>
      <xdr:colOff>443664</xdr:colOff>
      <xdr:row>41</xdr:row>
      <xdr:rowOff>187491</xdr:rowOff>
    </xdr:to>
    <xdr:pic>
      <xdr:nvPicPr>
        <xdr:cNvPr id="9" name="Image 8" descr="SPW_logo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743200" y="7496174"/>
          <a:ext cx="834189" cy="625642"/>
        </a:xfrm>
        <a:prstGeom prst="rect">
          <a:avLst/>
        </a:prstGeom>
      </xdr:spPr>
    </xdr:pic>
    <xdr:clientData/>
  </xdr:twoCellAnchor>
  <xdr:twoCellAnchor editAs="oneCell">
    <xdr:from>
      <xdr:col>8</xdr:col>
      <xdr:colOff>266700</xdr:colOff>
      <xdr:row>38</xdr:row>
      <xdr:rowOff>171451</xdr:rowOff>
    </xdr:from>
    <xdr:to>
      <xdr:col>9</xdr:col>
      <xdr:colOff>439042</xdr:colOff>
      <xdr:row>41</xdr:row>
      <xdr:rowOff>189790</xdr:rowOff>
    </xdr:to>
    <xdr:pic>
      <xdr:nvPicPr>
        <xdr:cNvPr id="10" name="Image 9" descr="dgo3transnew.pn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848100" y="7534276"/>
          <a:ext cx="620017" cy="58983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200030</xdr:colOff>
      <xdr:row>39</xdr:row>
      <xdr:rowOff>57155</xdr:rowOff>
    </xdr:from>
    <xdr:to>
      <xdr:col>5</xdr:col>
      <xdr:colOff>279116</xdr:colOff>
      <xdr:row>41</xdr:row>
      <xdr:rowOff>184092</xdr:rowOff>
    </xdr:to>
    <xdr:pic>
      <xdr:nvPicPr>
        <xdr:cNvPr id="5" name="Image 4" descr="Logo414x80px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0030" y="7610480"/>
          <a:ext cx="2317461" cy="507937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</xdr:colOff>
      <xdr:row>38</xdr:row>
      <xdr:rowOff>133349</xdr:rowOff>
    </xdr:from>
    <xdr:to>
      <xdr:col>7</xdr:col>
      <xdr:colOff>443664</xdr:colOff>
      <xdr:row>41</xdr:row>
      <xdr:rowOff>187491</xdr:rowOff>
    </xdr:to>
    <xdr:pic>
      <xdr:nvPicPr>
        <xdr:cNvPr id="6" name="Image 5" descr="SPW_logo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743200" y="7496174"/>
          <a:ext cx="834189" cy="625642"/>
        </a:xfrm>
        <a:prstGeom prst="rect">
          <a:avLst/>
        </a:prstGeom>
      </xdr:spPr>
    </xdr:pic>
    <xdr:clientData/>
  </xdr:twoCellAnchor>
  <xdr:twoCellAnchor editAs="oneCell">
    <xdr:from>
      <xdr:col>8</xdr:col>
      <xdr:colOff>266700</xdr:colOff>
      <xdr:row>38</xdr:row>
      <xdr:rowOff>171451</xdr:rowOff>
    </xdr:from>
    <xdr:to>
      <xdr:col>9</xdr:col>
      <xdr:colOff>439042</xdr:colOff>
      <xdr:row>41</xdr:row>
      <xdr:rowOff>189790</xdr:rowOff>
    </xdr:to>
    <xdr:pic>
      <xdr:nvPicPr>
        <xdr:cNvPr id="7" name="Image 6" descr="dgo3transnew.pn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848100" y="7534276"/>
          <a:ext cx="620017" cy="58983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200030</xdr:colOff>
      <xdr:row>39</xdr:row>
      <xdr:rowOff>57155</xdr:rowOff>
    </xdr:from>
    <xdr:to>
      <xdr:col>5</xdr:col>
      <xdr:colOff>279116</xdr:colOff>
      <xdr:row>41</xdr:row>
      <xdr:rowOff>184092</xdr:rowOff>
    </xdr:to>
    <xdr:pic>
      <xdr:nvPicPr>
        <xdr:cNvPr id="5" name="Image 4" descr="Logo414x80px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0030" y="7610480"/>
          <a:ext cx="2317461" cy="507937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</xdr:colOff>
      <xdr:row>38</xdr:row>
      <xdr:rowOff>133349</xdr:rowOff>
    </xdr:from>
    <xdr:to>
      <xdr:col>7</xdr:col>
      <xdr:colOff>443664</xdr:colOff>
      <xdr:row>41</xdr:row>
      <xdr:rowOff>187491</xdr:rowOff>
    </xdr:to>
    <xdr:pic>
      <xdr:nvPicPr>
        <xdr:cNvPr id="6" name="Image 5" descr="SPW_logo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743200" y="7496174"/>
          <a:ext cx="834189" cy="625642"/>
        </a:xfrm>
        <a:prstGeom prst="rect">
          <a:avLst/>
        </a:prstGeom>
      </xdr:spPr>
    </xdr:pic>
    <xdr:clientData/>
  </xdr:twoCellAnchor>
  <xdr:twoCellAnchor editAs="oneCell">
    <xdr:from>
      <xdr:col>8</xdr:col>
      <xdr:colOff>266700</xdr:colOff>
      <xdr:row>38</xdr:row>
      <xdr:rowOff>171451</xdr:rowOff>
    </xdr:from>
    <xdr:to>
      <xdr:col>9</xdr:col>
      <xdr:colOff>439042</xdr:colOff>
      <xdr:row>41</xdr:row>
      <xdr:rowOff>189790</xdr:rowOff>
    </xdr:to>
    <xdr:pic>
      <xdr:nvPicPr>
        <xdr:cNvPr id="7" name="Image 6" descr="dgo3transnew.pn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848100" y="7534276"/>
          <a:ext cx="620017" cy="58983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200030</xdr:colOff>
      <xdr:row>39</xdr:row>
      <xdr:rowOff>57155</xdr:rowOff>
    </xdr:from>
    <xdr:to>
      <xdr:col>5</xdr:col>
      <xdr:colOff>279116</xdr:colOff>
      <xdr:row>41</xdr:row>
      <xdr:rowOff>184092</xdr:rowOff>
    </xdr:to>
    <xdr:pic>
      <xdr:nvPicPr>
        <xdr:cNvPr id="5" name="Image 4" descr="Logo414x80px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0030" y="7610480"/>
          <a:ext cx="2317461" cy="507937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</xdr:colOff>
      <xdr:row>38</xdr:row>
      <xdr:rowOff>133349</xdr:rowOff>
    </xdr:from>
    <xdr:to>
      <xdr:col>7</xdr:col>
      <xdr:colOff>443664</xdr:colOff>
      <xdr:row>41</xdr:row>
      <xdr:rowOff>187491</xdr:rowOff>
    </xdr:to>
    <xdr:pic>
      <xdr:nvPicPr>
        <xdr:cNvPr id="6" name="Image 5" descr="SPW_logo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743200" y="7496174"/>
          <a:ext cx="834189" cy="625642"/>
        </a:xfrm>
        <a:prstGeom prst="rect">
          <a:avLst/>
        </a:prstGeom>
      </xdr:spPr>
    </xdr:pic>
    <xdr:clientData/>
  </xdr:twoCellAnchor>
  <xdr:twoCellAnchor editAs="oneCell">
    <xdr:from>
      <xdr:col>8</xdr:col>
      <xdr:colOff>266700</xdr:colOff>
      <xdr:row>38</xdr:row>
      <xdr:rowOff>171451</xdr:rowOff>
    </xdr:from>
    <xdr:to>
      <xdr:col>9</xdr:col>
      <xdr:colOff>439042</xdr:colOff>
      <xdr:row>41</xdr:row>
      <xdr:rowOff>189790</xdr:rowOff>
    </xdr:to>
    <xdr:pic>
      <xdr:nvPicPr>
        <xdr:cNvPr id="10" name="Image 9" descr="dgo3transnew.pn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848100" y="7534276"/>
          <a:ext cx="620017" cy="58983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200030</xdr:colOff>
      <xdr:row>39</xdr:row>
      <xdr:rowOff>57155</xdr:rowOff>
    </xdr:from>
    <xdr:to>
      <xdr:col>5</xdr:col>
      <xdr:colOff>279116</xdr:colOff>
      <xdr:row>41</xdr:row>
      <xdr:rowOff>184092</xdr:rowOff>
    </xdr:to>
    <xdr:pic>
      <xdr:nvPicPr>
        <xdr:cNvPr id="5" name="Image 4" descr="Logo414x80px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0030" y="7610480"/>
          <a:ext cx="2317461" cy="507937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</xdr:colOff>
      <xdr:row>38</xdr:row>
      <xdr:rowOff>133349</xdr:rowOff>
    </xdr:from>
    <xdr:to>
      <xdr:col>7</xdr:col>
      <xdr:colOff>443664</xdr:colOff>
      <xdr:row>41</xdr:row>
      <xdr:rowOff>187491</xdr:rowOff>
    </xdr:to>
    <xdr:pic>
      <xdr:nvPicPr>
        <xdr:cNvPr id="6" name="Image 5" descr="SPW_logo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743200" y="7496174"/>
          <a:ext cx="834189" cy="625642"/>
        </a:xfrm>
        <a:prstGeom prst="rect">
          <a:avLst/>
        </a:prstGeom>
      </xdr:spPr>
    </xdr:pic>
    <xdr:clientData/>
  </xdr:twoCellAnchor>
  <xdr:twoCellAnchor editAs="oneCell">
    <xdr:from>
      <xdr:col>8</xdr:col>
      <xdr:colOff>266700</xdr:colOff>
      <xdr:row>38</xdr:row>
      <xdr:rowOff>171451</xdr:rowOff>
    </xdr:from>
    <xdr:to>
      <xdr:col>9</xdr:col>
      <xdr:colOff>439042</xdr:colOff>
      <xdr:row>41</xdr:row>
      <xdr:rowOff>189790</xdr:rowOff>
    </xdr:to>
    <xdr:pic>
      <xdr:nvPicPr>
        <xdr:cNvPr id="10" name="Image 9" descr="dgo3transnew.pn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848100" y="7534276"/>
          <a:ext cx="620017" cy="58983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200030</xdr:colOff>
      <xdr:row>39</xdr:row>
      <xdr:rowOff>57155</xdr:rowOff>
    </xdr:from>
    <xdr:to>
      <xdr:col>5</xdr:col>
      <xdr:colOff>279116</xdr:colOff>
      <xdr:row>41</xdr:row>
      <xdr:rowOff>184092</xdr:rowOff>
    </xdr:to>
    <xdr:pic>
      <xdr:nvPicPr>
        <xdr:cNvPr id="5" name="Image 4" descr="Logo414x80px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0030" y="7610480"/>
          <a:ext cx="2317461" cy="507937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</xdr:colOff>
      <xdr:row>38</xdr:row>
      <xdr:rowOff>133349</xdr:rowOff>
    </xdr:from>
    <xdr:to>
      <xdr:col>7</xdr:col>
      <xdr:colOff>443664</xdr:colOff>
      <xdr:row>41</xdr:row>
      <xdr:rowOff>187491</xdr:rowOff>
    </xdr:to>
    <xdr:pic>
      <xdr:nvPicPr>
        <xdr:cNvPr id="6" name="Image 5" descr="SPW_logo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743200" y="7496174"/>
          <a:ext cx="834189" cy="625642"/>
        </a:xfrm>
        <a:prstGeom prst="rect">
          <a:avLst/>
        </a:prstGeom>
      </xdr:spPr>
    </xdr:pic>
    <xdr:clientData/>
  </xdr:twoCellAnchor>
  <xdr:twoCellAnchor editAs="oneCell">
    <xdr:from>
      <xdr:col>8</xdr:col>
      <xdr:colOff>266700</xdr:colOff>
      <xdr:row>38</xdr:row>
      <xdr:rowOff>171451</xdr:rowOff>
    </xdr:from>
    <xdr:to>
      <xdr:col>9</xdr:col>
      <xdr:colOff>439042</xdr:colOff>
      <xdr:row>41</xdr:row>
      <xdr:rowOff>189790</xdr:rowOff>
    </xdr:to>
    <xdr:pic>
      <xdr:nvPicPr>
        <xdr:cNvPr id="10" name="Image 9" descr="dgo3transnew.pn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848100" y="7534276"/>
          <a:ext cx="620017" cy="58983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200030</xdr:colOff>
      <xdr:row>39</xdr:row>
      <xdr:rowOff>57155</xdr:rowOff>
    </xdr:from>
    <xdr:to>
      <xdr:col>5</xdr:col>
      <xdr:colOff>279116</xdr:colOff>
      <xdr:row>41</xdr:row>
      <xdr:rowOff>184092</xdr:rowOff>
    </xdr:to>
    <xdr:pic>
      <xdr:nvPicPr>
        <xdr:cNvPr id="5" name="Image 4" descr="Logo414x80px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0030" y="7610480"/>
          <a:ext cx="2317461" cy="507937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</xdr:colOff>
      <xdr:row>38</xdr:row>
      <xdr:rowOff>133349</xdr:rowOff>
    </xdr:from>
    <xdr:to>
      <xdr:col>7</xdr:col>
      <xdr:colOff>443664</xdr:colOff>
      <xdr:row>41</xdr:row>
      <xdr:rowOff>187491</xdr:rowOff>
    </xdr:to>
    <xdr:pic>
      <xdr:nvPicPr>
        <xdr:cNvPr id="6" name="Image 5" descr="SPW_logo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743200" y="7496174"/>
          <a:ext cx="834189" cy="625642"/>
        </a:xfrm>
        <a:prstGeom prst="rect">
          <a:avLst/>
        </a:prstGeom>
      </xdr:spPr>
    </xdr:pic>
    <xdr:clientData/>
  </xdr:twoCellAnchor>
  <xdr:twoCellAnchor editAs="oneCell">
    <xdr:from>
      <xdr:col>8</xdr:col>
      <xdr:colOff>266700</xdr:colOff>
      <xdr:row>38</xdr:row>
      <xdr:rowOff>171451</xdr:rowOff>
    </xdr:from>
    <xdr:to>
      <xdr:col>9</xdr:col>
      <xdr:colOff>439042</xdr:colOff>
      <xdr:row>41</xdr:row>
      <xdr:rowOff>189790</xdr:rowOff>
    </xdr:to>
    <xdr:pic>
      <xdr:nvPicPr>
        <xdr:cNvPr id="7" name="Image 6" descr="dgo3transnew.pn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848100" y="7534276"/>
          <a:ext cx="620017" cy="58983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200030</xdr:colOff>
      <xdr:row>39</xdr:row>
      <xdr:rowOff>57155</xdr:rowOff>
    </xdr:from>
    <xdr:to>
      <xdr:col>5</xdr:col>
      <xdr:colOff>279116</xdr:colOff>
      <xdr:row>41</xdr:row>
      <xdr:rowOff>184092</xdr:rowOff>
    </xdr:to>
    <xdr:pic>
      <xdr:nvPicPr>
        <xdr:cNvPr id="5" name="Image 4" descr="Logo414x80px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0030" y="7610480"/>
          <a:ext cx="2317461" cy="507937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</xdr:colOff>
      <xdr:row>38</xdr:row>
      <xdr:rowOff>133349</xdr:rowOff>
    </xdr:from>
    <xdr:to>
      <xdr:col>7</xdr:col>
      <xdr:colOff>443664</xdr:colOff>
      <xdr:row>41</xdr:row>
      <xdr:rowOff>187491</xdr:rowOff>
    </xdr:to>
    <xdr:pic>
      <xdr:nvPicPr>
        <xdr:cNvPr id="6" name="Image 5" descr="SPW_logo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743200" y="7496174"/>
          <a:ext cx="834189" cy="625642"/>
        </a:xfrm>
        <a:prstGeom prst="rect">
          <a:avLst/>
        </a:prstGeom>
      </xdr:spPr>
    </xdr:pic>
    <xdr:clientData/>
  </xdr:twoCellAnchor>
  <xdr:twoCellAnchor editAs="oneCell">
    <xdr:from>
      <xdr:col>8</xdr:col>
      <xdr:colOff>266700</xdr:colOff>
      <xdr:row>38</xdr:row>
      <xdr:rowOff>171451</xdr:rowOff>
    </xdr:from>
    <xdr:to>
      <xdr:col>9</xdr:col>
      <xdr:colOff>439042</xdr:colOff>
      <xdr:row>41</xdr:row>
      <xdr:rowOff>189790</xdr:rowOff>
    </xdr:to>
    <xdr:pic>
      <xdr:nvPicPr>
        <xdr:cNvPr id="7" name="Image 6" descr="dgo3transnew.pn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848100" y="7534276"/>
          <a:ext cx="620017" cy="58983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200030</xdr:colOff>
      <xdr:row>39</xdr:row>
      <xdr:rowOff>57155</xdr:rowOff>
    </xdr:from>
    <xdr:to>
      <xdr:col>5</xdr:col>
      <xdr:colOff>279116</xdr:colOff>
      <xdr:row>41</xdr:row>
      <xdr:rowOff>184092</xdr:rowOff>
    </xdr:to>
    <xdr:pic>
      <xdr:nvPicPr>
        <xdr:cNvPr id="5" name="Image 4" descr="Logo414x80px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0030" y="7610480"/>
          <a:ext cx="2317461" cy="507937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</xdr:colOff>
      <xdr:row>38</xdr:row>
      <xdr:rowOff>133349</xdr:rowOff>
    </xdr:from>
    <xdr:to>
      <xdr:col>7</xdr:col>
      <xdr:colOff>443664</xdr:colOff>
      <xdr:row>41</xdr:row>
      <xdr:rowOff>187491</xdr:rowOff>
    </xdr:to>
    <xdr:pic>
      <xdr:nvPicPr>
        <xdr:cNvPr id="6" name="Image 5" descr="SPW_logo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743200" y="7496174"/>
          <a:ext cx="834189" cy="625642"/>
        </a:xfrm>
        <a:prstGeom prst="rect">
          <a:avLst/>
        </a:prstGeom>
      </xdr:spPr>
    </xdr:pic>
    <xdr:clientData/>
  </xdr:twoCellAnchor>
  <xdr:twoCellAnchor editAs="oneCell">
    <xdr:from>
      <xdr:col>8</xdr:col>
      <xdr:colOff>266700</xdr:colOff>
      <xdr:row>38</xdr:row>
      <xdr:rowOff>171451</xdr:rowOff>
    </xdr:from>
    <xdr:to>
      <xdr:col>9</xdr:col>
      <xdr:colOff>439042</xdr:colOff>
      <xdr:row>41</xdr:row>
      <xdr:rowOff>189790</xdr:rowOff>
    </xdr:to>
    <xdr:pic>
      <xdr:nvPicPr>
        <xdr:cNvPr id="10" name="Image 9" descr="dgo3transnew.pn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848100" y="7534276"/>
          <a:ext cx="620017" cy="58983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200030</xdr:colOff>
      <xdr:row>39</xdr:row>
      <xdr:rowOff>57155</xdr:rowOff>
    </xdr:from>
    <xdr:to>
      <xdr:col>5</xdr:col>
      <xdr:colOff>279116</xdr:colOff>
      <xdr:row>41</xdr:row>
      <xdr:rowOff>184092</xdr:rowOff>
    </xdr:to>
    <xdr:pic>
      <xdr:nvPicPr>
        <xdr:cNvPr id="5" name="Image 4" descr="Logo414x80px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0030" y="7610480"/>
          <a:ext cx="2317461" cy="507937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</xdr:colOff>
      <xdr:row>38</xdr:row>
      <xdr:rowOff>133349</xdr:rowOff>
    </xdr:from>
    <xdr:to>
      <xdr:col>7</xdr:col>
      <xdr:colOff>443664</xdr:colOff>
      <xdr:row>41</xdr:row>
      <xdr:rowOff>187491</xdr:rowOff>
    </xdr:to>
    <xdr:pic>
      <xdr:nvPicPr>
        <xdr:cNvPr id="6" name="Image 5" descr="SPW_logo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743200" y="7496174"/>
          <a:ext cx="834189" cy="625642"/>
        </a:xfrm>
        <a:prstGeom prst="rect">
          <a:avLst/>
        </a:prstGeom>
      </xdr:spPr>
    </xdr:pic>
    <xdr:clientData/>
  </xdr:twoCellAnchor>
  <xdr:twoCellAnchor editAs="oneCell">
    <xdr:from>
      <xdr:col>8</xdr:col>
      <xdr:colOff>266700</xdr:colOff>
      <xdr:row>38</xdr:row>
      <xdr:rowOff>171451</xdr:rowOff>
    </xdr:from>
    <xdr:to>
      <xdr:col>9</xdr:col>
      <xdr:colOff>439042</xdr:colOff>
      <xdr:row>41</xdr:row>
      <xdr:rowOff>189790</xdr:rowOff>
    </xdr:to>
    <xdr:pic>
      <xdr:nvPicPr>
        <xdr:cNvPr id="10" name="Image 9" descr="dgo3transnew.pn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848100" y="7534276"/>
          <a:ext cx="620017" cy="5898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77"/>
  <sheetViews>
    <sheetView tabSelected="1" workbookViewId="0">
      <selection activeCell="A45" sqref="A45"/>
    </sheetView>
  </sheetViews>
  <sheetFormatPr baseColWidth="10" defaultRowHeight="15"/>
  <cols>
    <col min="1" max="1" width="12.7109375" style="29" customWidth="1"/>
    <col min="2" max="4" width="7.7109375" style="1" customWidth="1"/>
    <col min="5" max="12" width="7.7109375" style="2" customWidth="1"/>
    <col min="13" max="13" width="8.7109375" style="2" customWidth="1"/>
    <col min="14" max="14" width="7.7109375" style="2" customWidth="1"/>
    <col min="15" max="17" width="8.28515625" style="2" customWidth="1"/>
    <col min="18" max="16384" width="11.42578125" style="2"/>
  </cols>
  <sheetData>
    <row r="1" spans="2:17" s="29" customFormat="1">
      <c r="B1" s="8"/>
      <c r="C1" s="8"/>
      <c r="D1" s="8"/>
    </row>
    <row r="2" spans="2:17" s="29" customFormat="1" ht="23.25">
      <c r="B2" s="8"/>
      <c r="C2" s="8"/>
      <c r="D2" s="98"/>
      <c r="E2" s="30"/>
      <c r="F2" s="148" t="s">
        <v>79</v>
      </c>
      <c r="G2" s="148"/>
      <c r="H2" s="148"/>
      <c r="I2" s="148"/>
      <c r="J2" s="148"/>
      <c r="K2" s="148"/>
      <c r="L2" s="148"/>
      <c r="M2" s="148"/>
      <c r="N2" s="148"/>
      <c r="O2" s="30"/>
    </row>
    <row r="3" spans="2:17" s="29" customFormat="1" ht="18.75">
      <c r="B3" s="8"/>
      <c r="C3" s="8"/>
      <c r="D3" s="97"/>
      <c r="F3" s="149" t="s">
        <v>87</v>
      </c>
      <c r="G3" s="149"/>
      <c r="H3" s="149"/>
      <c r="I3" s="149"/>
      <c r="J3" s="149"/>
      <c r="K3" s="149"/>
      <c r="L3" s="149"/>
      <c r="M3" s="149"/>
      <c r="N3" s="149"/>
    </row>
    <row r="4" spans="2:17" s="29" customFormat="1">
      <c r="B4" s="8"/>
      <c r="C4" s="8"/>
      <c r="D4" s="8"/>
    </row>
    <row r="5" spans="2:17" ht="29.25" customHeight="1">
      <c r="B5" s="150" t="s">
        <v>48</v>
      </c>
      <c r="C5" s="151"/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</row>
    <row r="6" spans="2:17" s="29" customFormat="1" ht="15" customHeight="1">
      <c r="B6" s="31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</row>
    <row r="7" spans="2:17" s="144" customFormat="1" ht="29.25" customHeight="1">
      <c r="B7" s="142" t="s">
        <v>122</v>
      </c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</row>
    <row r="8" spans="2:17" s="29" customFormat="1" ht="15" customHeight="1">
      <c r="B8" s="31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</row>
    <row r="9" spans="2:17" s="29" customFormat="1" ht="15" customHeight="1">
      <c r="B9" s="152" t="s">
        <v>1</v>
      </c>
      <c r="C9" s="153" t="s">
        <v>38</v>
      </c>
      <c r="D9" s="153"/>
      <c r="E9" s="153"/>
      <c r="F9" s="153"/>
      <c r="G9" s="153"/>
      <c r="H9" s="14"/>
      <c r="I9" s="14"/>
      <c r="J9" s="14"/>
      <c r="K9" s="14"/>
      <c r="L9" s="14"/>
      <c r="M9" s="14"/>
    </row>
    <row r="10" spans="2:17" s="29" customFormat="1" ht="15" customHeight="1">
      <c r="B10" s="152"/>
      <c r="C10" s="58" t="s">
        <v>39</v>
      </c>
      <c r="D10" s="58" t="s">
        <v>40</v>
      </c>
      <c r="E10" s="58" t="s">
        <v>41</v>
      </c>
      <c r="F10" s="58" t="s">
        <v>42</v>
      </c>
      <c r="G10" s="58">
        <v>0</v>
      </c>
      <c r="H10" s="14"/>
      <c r="I10" s="14"/>
      <c r="J10" s="14"/>
      <c r="K10" s="14"/>
      <c r="L10" s="14"/>
      <c r="M10" s="14"/>
    </row>
    <row r="11" spans="2:17" s="29" customFormat="1" ht="15" customHeight="1">
      <c r="B11" s="59">
        <v>20</v>
      </c>
      <c r="C11" s="59">
        <v>8.8000000000000007</v>
      </c>
      <c r="D11" s="59">
        <v>10.3</v>
      </c>
      <c r="E11" s="59">
        <v>11.8</v>
      </c>
      <c r="F11" s="59">
        <v>13.3</v>
      </c>
      <c r="G11" s="59">
        <v>14.7</v>
      </c>
      <c r="H11" s="14"/>
      <c r="I11" s="14"/>
      <c r="J11" s="14"/>
      <c r="K11" s="14"/>
      <c r="L11" s="14"/>
      <c r="M11" s="14"/>
    </row>
    <row r="12" spans="2:17" s="29" customFormat="1" ht="15" customHeight="1">
      <c r="B12" s="62">
        <v>25</v>
      </c>
      <c r="C12" s="62">
        <v>11.3</v>
      </c>
      <c r="D12" s="62">
        <v>13.1</v>
      </c>
      <c r="E12" s="62">
        <v>14.9</v>
      </c>
      <c r="F12" s="62">
        <v>16.8</v>
      </c>
      <c r="G12" s="62">
        <v>18.600000000000001</v>
      </c>
      <c r="H12" s="14"/>
      <c r="I12" s="14"/>
      <c r="J12" s="14"/>
      <c r="K12" s="14"/>
      <c r="L12" s="14"/>
      <c r="M12" s="14"/>
    </row>
    <row r="13" spans="2:17" s="29" customFormat="1" ht="15" customHeight="1">
      <c r="B13" s="60">
        <v>30</v>
      </c>
      <c r="C13" s="60">
        <v>13.6</v>
      </c>
      <c r="D13" s="60">
        <v>15.7</v>
      </c>
      <c r="E13" s="60">
        <v>17.899999999999999</v>
      </c>
      <c r="F13" s="60">
        <v>20</v>
      </c>
      <c r="G13" s="60">
        <v>22.2</v>
      </c>
      <c r="H13" s="14"/>
      <c r="I13" s="14"/>
      <c r="J13" s="14"/>
      <c r="K13" s="14"/>
      <c r="L13" s="14"/>
      <c r="M13" s="14"/>
    </row>
    <row r="14" spans="2:17" s="29" customFormat="1" ht="15" customHeight="1">
      <c r="B14" s="62">
        <v>35</v>
      </c>
      <c r="C14" s="62">
        <v>15.7</v>
      </c>
      <c r="D14" s="62">
        <v>18.100000000000001</v>
      </c>
      <c r="E14" s="62">
        <v>20.5</v>
      </c>
      <c r="F14" s="62">
        <v>23</v>
      </c>
      <c r="G14" s="62">
        <v>25.4</v>
      </c>
      <c r="H14" s="14"/>
      <c r="I14" s="14"/>
      <c r="J14" s="14"/>
      <c r="K14" s="14"/>
      <c r="L14" s="14"/>
      <c r="M14" s="14"/>
    </row>
    <row r="15" spans="2:17" s="29" customFormat="1" ht="15" customHeight="1">
      <c r="B15" s="60">
        <v>40</v>
      </c>
      <c r="C15" s="60">
        <v>17.600000000000001</v>
      </c>
      <c r="D15" s="60">
        <v>20.3</v>
      </c>
      <c r="E15" s="60">
        <v>22.9</v>
      </c>
      <c r="F15" s="60">
        <v>25.6</v>
      </c>
      <c r="G15" s="60">
        <v>28.3</v>
      </c>
      <c r="H15" s="14"/>
      <c r="I15" s="14"/>
      <c r="J15" s="14"/>
      <c r="K15" s="14"/>
      <c r="L15" s="14"/>
      <c r="M15" s="14"/>
    </row>
    <row r="16" spans="2:17" s="29" customFormat="1" ht="15" customHeight="1">
      <c r="B16" s="62">
        <v>45</v>
      </c>
      <c r="C16" s="62">
        <v>19.399999999999999</v>
      </c>
      <c r="D16" s="62">
        <v>22.2</v>
      </c>
      <c r="E16" s="62">
        <v>25.1</v>
      </c>
      <c r="F16" s="62">
        <v>27.9</v>
      </c>
      <c r="G16" s="62">
        <v>30.8</v>
      </c>
      <c r="H16" s="14"/>
      <c r="I16" s="14"/>
      <c r="J16" s="14"/>
      <c r="K16" s="14"/>
      <c r="L16" s="14"/>
      <c r="M16" s="14"/>
    </row>
    <row r="17" spans="2:13" s="29" customFormat="1" ht="15" customHeight="1">
      <c r="B17" s="119">
        <v>50</v>
      </c>
      <c r="C17" s="119">
        <v>21</v>
      </c>
      <c r="D17" s="119">
        <v>24</v>
      </c>
      <c r="E17" s="119">
        <v>27</v>
      </c>
      <c r="F17" s="119">
        <v>30</v>
      </c>
      <c r="G17" s="119">
        <v>33</v>
      </c>
      <c r="H17" s="14"/>
      <c r="I17" s="14"/>
      <c r="J17" s="14"/>
      <c r="K17" s="14"/>
      <c r="L17" s="14"/>
      <c r="M17" s="14"/>
    </row>
    <row r="18" spans="2:13" s="29" customFormat="1" ht="15" customHeight="1">
      <c r="B18" s="62">
        <v>55</v>
      </c>
      <c r="C18" s="62">
        <v>22.5</v>
      </c>
      <c r="D18" s="62">
        <v>25.6</v>
      </c>
      <c r="E18" s="62">
        <v>28.7</v>
      </c>
      <c r="F18" s="62">
        <v>31.8</v>
      </c>
      <c r="G18" s="62">
        <v>35</v>
      </c>
      <c r="H18" s="14"/>
      <c r="I18" s="14"/>
      <c r="J18" s="14"/>
      <c r="K18" s="14"/>
      <c r="L18" s="14"/>
      <c r="M18" s="14"/>
    </row>
    <row r="19" spans="2:13" s="29" customFormat="1" ht="15" customHeight="1">
      <c r="B19" s="60">
        <v>60</v>
      </c>
      <c r="C19" s="60">
        <v>23.8</v>
      </c>
      <c r="D19" s="60">
        <v>27</v>
      </c>
      <c r="E19" s="60">
        <v>30.2</v>
      </c>
      <c r="F19" s="60">
        <v>33.5</v>
      </c>
      <c r="G19" s="60">
        <v>36.700000000000003</v>
      </c>
      <c r="H19" s="14"/>
      <c r="I19" s="14"/>
      <c r="J19" s="14"/>
      <c r="K19" s="14"/>
      <c r="L19" s="14"/>
      <c r="M19" s="14"/>
    </row>
    <row r="20" spans="2:13" s="29" customFormat="1" ht="15" customHeight="1">
      <c r="B20" s="62">
        <v>65</v>
      </c>
      <c r="C20" s="62">
        <v>25</v>
      </c>
      <c r="D20" s="62">
        <v>28.3</v>
      </c>
      <c r="E20" s="62">
        <v>31.6</v>
      </c>
      <c r="F20" s="62">
        <v>34.9</v>
      </c>
      <c r="G20" s="62">
        <v>38.299999999999997</v>
      </c>
      <c r="H20" s="14"/>
      <c r="I20" s="14"/>
      <c r="J20" s="14"/>
      <c r="K20" s="14"/>
      <c r="L20" s="14"/>
      <c r="M20" s="14"/>
    </row>
    <row r="21" spans="2:13" s="29" customFormat="1" ht="15" customHeight="1">
      <c r="B21" s="60">
        <v>70</v>
      </c>
      <c r="C21" s="60">
        <v>26.1</v>
      </c>
      <c r="D21" s="60">
        <v>29.5</v>
      </c>
      <c r="E21" s="60">
        <v>32.9</v>
      </c>
      <c r="F21" s="60">
        <v>36.299999999999997</v>
      </c>
      <c r="G21" s="60">
        <v>39.6</v>
      </c>
      <c r="H21" s="14"/>
      <c r="I21" s="14"/>
      <c r="J21" s="14"/>
      <c r="K21" s="14"/>
      <c r="L21" s="14"/>
      <c r="M21" s="14"/>
    </row>
    <row r="22" spans="2:13" s="29" customFormat="1" ht="15" customHeight="1">
      <c r="B22" s="62">
        <v>75</v>
      </c>
      <c r="C22" s="62">
        <v>27.1</v>
      </c>
      <c r="D22" s="62">
        <v>30.6</v>
      </c>
      <c r="E22" s="62">
        <v>34</v>
      </c>
      <c r="F22" s="62">
        <v>37.5</v>
      </c>
      <c r="G22" s="62" t="s">
        <v>27</v>
      </c>
      <c r="H22" s="14"/>
      <c r="I22" s="14"/>
      <c r="J22" s="14"/>
      <c r="K22" s="14"/>
      <c r="L22" s="14"/>
      <c r="M22" s="14"/>
    </row>
    <row r="23" spans="2:13" s="29" customFormat="1" ht="15" customHeight="1">
      <c r="B23" s="60">
        <v>80</v>
      </c>
      <c r="C23" s="60">
        <v>28.1</v>
      </c>
      <c r="D23" s="60">
        <v>31.6</v>
      </c>
      <c r="E23" s="60">
        <v>35.1</v>
      </c>
      <c r="F23" s="60">
        <v>38.6</v>
      </c>
      <c r="G23" s="60" t="s">
        <v>27</v>
      </c>
      <c r="H23" s="14"/>
      <c r="I23" s="14"/>
      <c r="J23" s="14"/>
      <c r="K23" s="14"/>
      <c r="L23" s="14"/>
      <c r="M23" s="14"/>
    </row>
    <row r="24" spans="2:13" s="29" customFormat="1" ht="15" customHeight="1">
      <c r="B24" s="62">
        <v>85</v>
      </c>
      <c r="C24" s="62">
        <v>29</v>
      </c>
      <c r="D24" s="62">
        <v>32.5</v>
      </c>
      <c r="E24" s="62">
        <v>36.1</v>
      </c>
      <c r="F24" s="62">
        <v>39.6</v>
      </c>
      <c r="G24" s="62" t="s">
        <v>27</v>
      </c>
      <c r="H24" s="14"/>
      <c r="I24" s="14"/>
      <c r="J24" s="14"/>
      <c r="K24" s="14"/>
      <c r="L24" s="14"/>
      <c r="M24" s="14"/>
    </row>
    <row r="25" spans="2:13" s="29" customFormat="1" ht="15" customHeight="1">
      <c r="B25" s="60">
        <v>90</v>
      </c>
      <c r="C25" s="60">
        <v>29.9</v>
      </c>
      <c r="D25" s="60">
        <v>33.4</v>
      </c>
      <c r="E25" s="60">
        <v>37</v>
      </c>
      <c r="F25" s="60" t="s">
        <v>27</v>
      </c>
      <c r="G25" s="60" t="s">
        <v>27</v>
      </c>
      <c r="H25" s="14"/>
      <c r="I25" s="14"/>
      <c r="J25" s="14"/>
      <c r="K25" s="14"/>
      <c r="L25" s="14"/>
      <c r="M25" s="14"/>
    </row>
    <row r="26" spans="2:13" s="29" customFormat="1" ht="15" customHeight="1">
      <c r="B26" s="62">
        <v>95</v>
      </c>
      <c r="C26" s="62">
        <v>30.7</v>
      </c>
      <c r="D26" s="62">
        <v>34.299999999999997</v>
      </c>
      <c r="E26" s="62">
        <v>37.9</v>
      </c>
      <c r="F26" s="62" t="s">
        <v>27</v>
      </c>
      <c r="G26" s="62" t="s">
        <v>27</v>
      </c>
      <c r="H26" s="14"/>
      <c r="I26" s="14"/>
      <c r="J26" s="14"/>
      <c r="K26" s="14"/>
      <c r="L26" s="14"/>
      <c r="M26" s="14"/>
    </row>
    <row r="27" spans="2:13" s="29" customFormat="1" ht="15" customHeight="1">
      <c r="B27" s="61">
        <v>100</v>
      </c>
      <c r="C27" s="61">
        <v>31.5</v>
      </c>
      <c r="D27" s="61">
        <v>35.1</v>
      </c>
      <c r="E27" s="61">
        <v>38.700000000000003</v>
      </c>
      <c r="F27" s="61" t="s">
        <v>27</v>
      </c>
      <c r="G27" s="61" t="s">
        <v>27</v>
      </c>
      <c r="H27" s="30"/>
      <c r="I27" s="30"/>
      <c r="J27" s="30"/>
      <c r="K27" s="30"/>
      <c r="L27" s="30"/>
      <c r="M27" s="30"/>
    </row>
    <row r="28" spans="2:13" s="29" customFormat="1" ht="15" customHeight="1">
      <c r="B28" s="34"/>
      <c r="C28" s="34"/>
      <c r="D28" s="34"/>
      <c r="E28" s="34"/>
      <c r="F28" s="34"/>
      <c r="G28" s="34"/>
      <c r="H28" s="30"/>
      <c r="I28" s="30"/>
      <c r="J28" s="30"/>
      <c r="K28" s="30"/>
      <c r="L28" s="30"/>
      <c r="M28" s="30"/>
    </row>
    <row r="29" spans="2:13" s="144" customFormat="1" ht="29.25" customHeight="1">
      <c r="B29" s="145" t="s">
        <v>123</v>
      </c>
      <c r="C29" s="143"/>
      <c r="D29" s="143"/>
      <c r="E29" s="143"/>
      <c r="F29" s="143"/>
      <c r="G29" s="143"/>
      <c r="H29" s="143"/>
      <c r="I29" s="143"/>
      <c r="J29" s="143"/>
      <c r="K29" s="143"/>
      <c r="L29" s="143"/>
      <c r="M29" s="143"/>
    </row>
    <row r="30" spans="2:13" s="29" customFormat="1" ht="15" customHeight="1">
      <c r="B30" s="31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</row>
    <row r="31" spans="2:13" s="144" customFormat="1" ht="29.25" customHeight="1">
      <c r="B31" s="145"/>
      <c r="C31" s="146" t="s">
        <v>124</v>
      </c>
      <c r="D31" s="143"/>
      <c r="E31" s="143"/>
      <c r="F31" s="143"/>
      <c r="G31" s="143"/>
      <c r="H31" s="143"/>
      <c r="I31" s="143"/>
      <c r="J31" s="143"/>
      <c r="K31" s="143"/>
      <c r="L31" s="143"/>
      <c r="M31" s="143"/>
    </row>
    <row r="32" spans="2:13">
      <c r="B32" s="8"/>
      <c r="C32" s="8"/>
      <c r="D32" s="8"/>
    </row>
    <row r="33" spans="2:17" ht="15.75">
      <c r="B33" s="154" t="s">
        <v>47</v>
      </c>
      <c r="C33" s="155"/>
      <c r="D33" s="154" t="s">
        <v>46</v>
      </c>
      <c r="E33" s="155"/>
      <c r="F33" s="154" t="s">
        <v>49</v>
      </c>
      <c r="G33" s="156"/>
      <c r="H33" s="156"/>
      <c r="I33" s="156"/>
      <c r="J33" s="156"/>
      <c r="K33" s="154" t="s">
        <v>18</v>
      </c>
      <c r="L33" s="154"/>
      <c r="M33" s="154"/>
      <c r="N33" s="154"/>
      <c r="O33" s="154" t="s">
        <v>17</v>
      </c>
      <c r="P33" s="154"/>
      <c r="Q33" s="154"/>
    </row>
    <row r="34" spans="2:17" s="8" customFormat="1" ht="31.5">
      <c r="B34" s="63" t="s">
        <v>44</v>
      </c>
      <c r="C34" s="64" t="s">
        <v>45</v>
      </c>
      <c r="D34" s="63" t="s">
        <v>1</v>
      </c>
      <c r="E34" s="64" t="s">
        <v>64</v>
      </c>
      <c r="F34" s="63" t="s">
        <v>43</v>
      </c>
      <c r="G34" s="65" t="s">
        <v>2</v>
      </c>
      <c r="H34" s="65" t="s">
        <v>5</v>
      </c>
      <c r="I34" s="65" t="s">
        <v>4</v>
      </c>
      <c r="J34" s="64" t="s">
        <v>7</v>
      </c>
      <c r="K34" s="63" t="s">
        <v>16</v>
      </c>
      <c r="L34" s="65" t="s">
        <v>12</v>
      </c>
      <c r="M34" s="65" t="s">
        <v>11</v>
      </c>
      <c r="N34" s="64" t="s">
        <v>14</v>
      </c>
      <c r="O34" s="63" t="s">
        <v>51</v>
      </c>
      <c r="P34" s="65" t="s">
        <v>52</v>
      </c>
      <c r="Q34" s="64" t="s">
        <v>53</v>
      </c>
    </row>
    <row r="35" spans="2:17" s="69" customFormat="1" ht="12" customHeight="1">
      <c r="B35" s="70" t="s">
        <v>65</v>
      </c>
      <c r="C35" s="71" t="s">
        <v>66</v>
      </c>
      <c r="D35" s="70" t="s">
        <v>65</v>
      </c>
      <c r="E35" s="71" t="s">
        <v>74</v>
      </c>
      <c r="F35" s="70" t="s">
        <v>65</v>
      </c>
      <c r="G35" s="72" t="s">
        <v>66</v>
      </c>
      <c r="H35" s="72" t="s">
        <v>68</v>
      </c>
      <c r="I35" s="72" t="s">
        <v>67</v>
      </c>
      <c r="J35" s="71" t="s">
        <v>70</v>
      </c>
      <c r="K35" s="70" t="s">
        <v>76</v>
      </c>
      <c r="L35" s="72" t="s">
        <v>70</v>
      </c>
      <c r="M35" s="72" t="s">
        <v>73</v>
      </c>
      <c r="N35" s="71"/>
      <c r="O35" s="70" t="s">
        <v>75</v>
      </c>
      <c r="P35" s="72" t="s">
        <v>75</v>
      </c>
      <c r="Q35" s="71" t="s">
        <v>75</v>
      </c>
    </row>
    <row r="36" spans="2:17" ht="15.75">
      <c r="B36" s="35">
        <v>0</v>
      </c>
      <c r="C36" s="66">
        <v>33</v>
      </c>
      <c r="D36" s="36">
        <f>Ep0A!A$9</f>
        <v>17</v>
      </c>
      <c r="E36" s="39">
        <f>Ep0A!V$9</f>
        <v>32.643047944504083</v>
      </c>
      <c r="F36" s="37">
        <f>Ep0A!A15</f>
        <v>53</v>
      </c>
      <c r="G36" s="38">
        <f>Ep0A!B15</f>
        <v>33.818500507354699</v>
      </c>
      <c r="H36" s="38">
        <f>Ep0A!D15</f>
        <v>141.94769356174507</v>
      </c>
      <c r="I36" s="38">
        <f>Ep0A!C15</f>
        <v>270.99</v>
      </c>
      <c r="J36" s="39">
        <f>Ep0A!F15</f>
        <v>610.19201043525504</v>
      </c>
      <c r="K36" s="40">
        <f>H36/F36</f>
        <v>2.6782583690895296</v>
      </c>
      <c r="L36" s="73">
        <f>Ep0A!T15</f>
        <v>1044.4010149254686</v>
      </c>
      <c r="M36" s="41">
        <f>Ep0A!S15</f>
        <v>19.705679526895636</v>
      </c>
      <c r="N36" s="39">
        <f>Ep0A!U14</f>
        <v>76.431739763164273</v>
      </c>
      <c r="O36" s="79">
        <f>Q36-P36</f>
        <v>9792.7631265864129</v>
      </c>
      <c r="P36" s="76">
        <f>Ep0A!L$32</f>
        <v>16105.616477907619</v>
      </c>
      <c r="Q36" s="80">
        <f>Ep0A!W$32</f>
        <v>25898.379604494032</v>
      </c>
    </row>
    <row r="37" spans="2:17" s="11" customFormat="1" ht="15.75">
      <c r="B37" s="42">
        <v>1</v>
      </c>
      <c r="C37" s="67">
        <v>30</v>
      </c>
      <c r="D37" s="43">
        <f>Ep1A!A$9</f>
        <v>19</v>
      </c>
      <c r="E37" s="46">
        <f>Ep1A!V$9</f>
        <v>32.646092353249266</v>
      </c>
      <c r="F37" s="44">
        <f>Ep1A!A15</f>
        <v>55</v>
      </c>
      <c r="G37" s="45">
        <f>Ep1A!B15</f>
        <v>31.457775308609001</v>
      </c>
      <c r="H37" s="45">
        <f>Ep1A!D15</f>
        <v>133.61477853783771</v>
      </c>
      <c r="I37" s="45">
        <f>Ep1A!C15</f>
        <v>297.90000000000003</v>
      </c>
      <c r="J37" s="46">
        <f>Ep1A!F15</f>
        <v>562.28231289262317</v>
      </c>
      <c r="K37" s="47">
        <f t="shared" ref="K37:K40" si="0">H37/F37</f>
        <v>2.4293596097788672</v>
      </c>
      <c r="L37" s="74">
        <f>Ep1A!T15</f>
        <v>949.74698350410574</v>
      </c>
      <c r="M37" s="48">
        <f>Ep1A!S15</f>
        <v>17.268126972801923</v>
      </c>
      <c r="N37" s="46">
        <f>Ep1A!U14</f>
        <v>75.551404266185713</v>
      </c>
      <c r="O37" s="81">
        <f t="shared" ref="O37:O40" si="1">Q37-P37</f>
        <v>8024.7839894184563</v>
      </c>
      <c r="P37" s="77">
        <f>Ep1A!L$32</f>
        <v>13960.126452554179</v>
      </c>
      <c r="Q37" s="82">
        <f>Ep1A!W$32</f>
        <v>21984.910441972635</v>
      </c>
    </row>
    <row r="38" spans="2:17" ht="15.75">
      <c r="B38" s="35">
        <v>2</v>
      </c>
      <c r="C38" s="66">
        <v>27</v>
      </c>
      <c r="D38" s="36">
        <f>Ep2A!A$9</f>
        <v>22</v>
      </c>
      <c r="E38" s="39">
        <f>Ep2A!V$9</f>
        <v>32.643291120708582</v>
      </c>
      <c r="F38" s="37">
        <f>Ep2A!A16</f>
        <v>64</v>
      </c>
      <c r="G38" s="38">
        <f>Ep2A!B16</f>
        <v>30.926490205764701</v>
      </c>
      <c r="H38" s="38">
        <f>Ep2A!D16</f>
        <v>138.01419838278775</v>
      </c>
      <c r="I38" s="38">
        <f>Ep2A!C16</f>
        <v>276.48</v>
      </c>
      <c r="J38" s="39">
        <f>Ep2A!F16</f>
        <v>549.9947114245881</v>
      </c>
      <c r="K38" s="40">
        <f t="shared" si="0"/>
        <v>2.1564718497310587</v>
      </c>
      <c r="L38" s="73">
        <f>Ep2A!T16</f>
        <v>963.69281451677421</v>
      </c>
      <c r="M38" s="41">
        <f>Ep2A!S16</f>
        <v>15.057700226824597</v>
      </c>
      <c r="N38" s="39">
        <f>Ep2A!U15</f>
        <v>72.086748116718368</v>
      </c>
      <c r="O38" s="79">
        <f t="shared" si="1"/>
        <v>7837.4511529237079</v>
      </c>
      <c r="P38" s="76">
        <f>Ep2A!L$33</f>
        <v>11571.961945795252</v>
      </c>
      <c r="Q38" s="80">
        <f>Ep2A!W$33</f>
        <v>19409.41309871896</v>
      </c>
    </row>
    <row r="39" spans="2:17" s="11" customFormat="1" ht="15.75">
      <c r="B39" s="42">
        <v>3</v>
      </c>
      <c r="C39" s="67">
        <v>24</v>
      </c>
      <c r="D39" s="43">
        <f>Ep3A!A$9</f>
        <v>25</v>
      </c>
      <c r="E39" s="46">
        <f>Ep3A!V$9</f>
        <v>32.643991779426301</v>
      </c>
      <c r="F39" s="44">
        <f>Ep3A!A17</f>
        <v>73</v>
      </c>
      <c r="G39" s="45">
        <f>Ep3A!B17</f>
        <v>29.672443096160801</v>
      </c>
      <c r="H39" s="45">
        <f>Ep3A!D17</f>
        <v>138.00126593579401</v>
      </c>
      <c r="I39" s="45">
        <f>Ep3A!C17</f>
        <v>272.61</v>
      </c>
      <c r="J39" s="46">
        <f>Ep3A!F17</f>
        <v>525.76649387661871</v>
      </c>
      <c r="K39" s="47">
        <f t="shared" si="0"/>
        <v>1.8904283004903288</v>
      </c>
      <c r="L39" s="74">
        <f>Ep3A!T17</f>
        <v>936.9855110970293</v>
      </c>
      <c r="M39" s="48">
        <f>Ep3A!S17</f>
        <v>12.835417960233277</v>
      </c>
      <c r="N39" s="46">
        <f>Ep3A!U16</f>
        <v>69.179587431633408</v>
      </c>
      <c r="O39" s="81">
        <f t="shared" si="1"/>
        <v>6913.8453491164328</v>
      </c>
      <c r="P39" s="77">
        <f>Ep3A!L$34</f>
        <v>9254.8507240944273</v>
      </c>
      <c r="Q39" s="82">
        <f>Ep3A!W$34</f>
        <v>16168.69607321086</v>
      </c>
    </row>
    <row r="40" spans="2:17" ht="15.75">
      <c r="B40" s="49">
        <v>4</v>
      </c>
      <c r="C40" s="68">
        <v>21</v>
      </c>
      <c r="D40" s="50">
        <f>Ep4A!A$9</f>
        <v>29</v>
      </c>
      <c r="E40" s="53">
        <f>Ep4A!V$9</f>
        <v>32.64633792794455</v>
      </c>
      <c r="F40" s="51">
        <f>Ep4A!A18</f>
        <v>83</v>
      </c>
      <c r="G40" s="52">
        <f>Ep4A!B18</f>
        <v>28.214953746795601</v>
      </c>
      <c r="H40" s="52">
        <f>Ep4A!D18</f>
        <v>136.29899116860696</v>
      </c>
      <c r="I40" s="52">
        <f>Ep4A!C18</f>
        <v>274.95</v>
      </c>
      <c r="J40" s="53">
        <f>Ep4A!F18</f>
        <v>498.45877524983075</v>
      </c>
      <c r="K40" s="54">
        <f t="shared" si="0"/>
        <v>1.6421565201036983</v>
      </c>
      <c r="L40" s="75">
        <f>Ep4A!T18</f>
        <v>895.24423076298001</v>
      </c>
      <c r="M40" s="55">
        <f>Ep4A!S18</f>
        <v>10.786075069433494</v>
      </c>
      <c r="N40" s="53">
        <f>Ep4A!U17</f>
        <v>66.486098193530012</v>
      </c>
      <c r="O40" s="83">
        <f t="shared" si="1"/>
        <v>5745.7635569639569</v>
      </c>
      <c r="P40" s="78">
        <f>Ep4A!L$35</f>
        <v>7166.3941468766825</v>
      </c>
      <c r="Q40" s="84">
        <f>Ep4A!W$35</f>
        <v>12912.157703840639</v>
      </c>
    </row>
    <row r="41" spans="2:17" s="11" customFormat="1">
      <c r="B41" s="4"/>
      <c r="C41" s="4"/>
      <c r="D41" s="5"/>
      <c r="E41" s="5"/>
      <c r="F41" s="6"/>
      <c r="G41" s="6"/>
      <c r="H41" s="6"/>
      <c r="I41" s="6"/>
      <c r="J41" s="6"/>
      <c r="K41" s="7"/>
      <c r="L41" s="6"/>
      <c r="M41" s="7"/>
      <c r="N41" s="6"/>
      <c r="O41" s="6"/>
      <c r="P41" s="6"/>
      <c r="Q41" s="6"/>
    </row>
    <row r="42" spans="2:17" s="144" customFormat="1" ht="29.25" customHeight="1">
      <c r="B42" s="145"/>
      <c r="C42" s="146" t="s">
        <v>125</v>
      </c>
      <c r="D42" s="143"/>
      <c r="E42" s="143"/>
      <c r="F42" s="143"/>
      <c r="G42" s="143"/>
      <c r="H42" s="143"/>
      <c r="I42" s="143"/>
      <c r="J42" s="143"/>
      <c r="K42" s="143"/>
      <c r="L42" s="143"/>
      <c r="M42" s="143"/>
    </row>
    <row r="43" spans="2:17" s="11" customFormat="1">
      <c r="B43" s="4"/>
      <c r="C43" s="4"/>
      <c r="D43" s="5"/>
      <c r="E43" s="5"/>
      <c r="F43" s="6"/>
      <c r="G43" s="6"/>
      <c r="H43" s="6"/>
      <c r="I43" s="6"/>
      <c r="J43" s="6"/>
      <c r="K43" s="7"/>
      <c r="L43" s="6"/>
      <c r="M43" s="7"/>
      <c r="N43" s="6"/>
      <c r="O43" s="6"/>
      <c r="P43" s="6"/>
      <c r="Q43" s="6"/>
    </row>
    <row r="44" spans="2:17" s="11" customFormat="1" ht="15.75">
      <c r="B44" s="154" t="s">
        <v>47</v>
      </c>
      <c r="C44" s="155"/>
      <c r="D44" s="154" t="s">
        <v>46</v>
      </c>
      <c r="E44" s="155"/>
      <c r="F44" s="154" t="s">
        <v>50</v>
      </c>
      <c r="G44" s="156"/>
      <c r="H44" s="156"/>
      <c r="I44" s="156"/>
      <c r="J44" s="156"/>
      <c r="K44" s="154" t="s">
        <v>18</v>
      </c>
      <c r="L44" s="154"/>
      <c r="M44" s="154"/>
      <c r="N44" s="154"/>
      <c r="O44" s="154" t="s">
        <v>17</v>
      </c>
      <c r="P44" s="154"/>
      <c r="Q44" s="154"/>
    </row>
    <row r="45" spans="2:17" s="8" customFormat="1" ht="31.5">
      <c r="B45" s="63" t="s">
        <v>44</v>
      </c>
      <c r="C45" s="64" t="s">
        <v>45</v>
      </c>
      <c r="D45" s="63" t="s">
        <v>1</v>
      </c>
      <c r="E45" s="64" t="s">
        <v>64</v>
      </c>
      <c r="F45" s="63" t="s">
        <v>43</v>
      </c>
      <c r="G45" s="65" t="s">
        <v>2</v>
      </c>
      <c r="H45" s="65" t="s">
        <v>5</v>
      </c>
      <c r="I45" s="65" t="s">
        <v>4</v>
      </c>
      <c r="J45" s="64" t="s">
        <v>7</v>
      </c>
      <c r="K45" s="63" t="s">
        <v>16</v>
      </c>
      <c r="L45" s="65" t="s">
        <v>12</v>
      </c>
      <c r="M45" s="65" t="s">
        <v>11</v>
      </c>
      <c r="N45" s="64" t="s">
        <v>14</v>
      </c>
      <c r="O45" s="63" t="s">
        <v>51</v>
      </c>
      <c r="P45" s="65" t="s">
        <v>52</v>
      </c>
      <c r="Q45" s="64" t="s">
        <v>53</v>
      </c>
    </row>
    <row r="46" spans="2:17" s="69" customFormat="1" ht="12" customHeight="1">
      <c r="B46" s="70" t="s">
        <v>65</v>
      </c>
      <c r="C46" s="71" t="s">
        <v>66</v>
      </c>
      <c r="D46" s="70" t="s">
        <v>65</v>
      </c>
      <c r="E46" s="71" t="s">
        <v>74</v>
      </c>
      <c r="F46" s="70" t="s">
        <v>65</v>
      </c>
      <c r="G46" s="72" t="s">
        <v>66</v>
      </c>
      <c r="H46" s="72" t="s">
        <v>68</v>
      </c>
      <c r="I46" s="72" t="s">
        <v>67</v>
      </c>
      <c r="J46" s="71" t="s">
        <v>70</v>
      </c>
      <c r="K46" s="70" t="s">
        <v>76</v>
      </c>
      <c r="L46" s="72" t="s">
        <v>70</v>
      </c>
      <c r="M46" s="72" t="s">
        <v>73</v>
      </c>
      <c r="N46" s="71"/>
      <c r="O46" s="70" t="s">
        <v>75</v>
      </c>
      <c r="P46" s="72" t="s">
        <v>75</v>
      </c>
      <c r="Q46" s="71" t="s">
        <v>75</v>
      </c>
    </row>
    <row r="47" spans="2:17" s="11" customFormat="1" ht="15.75">
      <c r="B47" s="35">
        <v>0</v>
      </c>
      <c r="C47" s="66">
        <v>33</v>
      </c>
      <c r="D47" s="56">
        <f>Ep0B!A$9</f>
        <v>17</v>
      </c>
      <c r="E47" s="85">
        <f>Ep0B!V$9</f>
        <v>39.749730515067711</v>
      </c>
      <c r="F47" s="37">
        <f>Ep0B!A15</f>
        <v>53</v>
      </c>
      <c r="G47" s="38">
        <f>Ep0B!B15</f>
        <v>33.792086364745998</v>
      </c>
      <c r="H47" s="38">
        <f>Ep0B!D15</f>
        <v>137.9968866925274</v>
      </c>
      <c r="I47" s="38">
        <f>Ep0B!C15</f>
        <v>284.22000000000003</v>
      </c>
      <c r="J47" s="39">
        <f>Ep0B!F15</f>
        <v>604.30649920020187</v>
      </c>
      <c r="K47" s="40">
        <f>H47/F47</f>
        <v>2.6037148432552337</v>
      </c>
      <c r="L47" s="73">
        <f>Ep0B!T15</f>
        <v>1054.7923532907962</v>
      </c>
      <c r="M47" s="41">
        <f>Ep0B!S15</f>
        <v>19.901742514920684</v>
      </c>
      <c r="N47" s="39">
        <f>Ep0B!U14</f>
        <v>78.644888210547563</v>
      </c>
      <c r="O47" s="79">
        <f>Q47-P47</f>
        <v>9733.8502296063671</v>
      </c>
      <c r="P47" s="76">
        <f>Ep0B!L$32</f>
        <v>15794.806747336719</v>
      </c>
      <c r="Q47" s="80">
        <f>Ep0B!W$32</f>
        <v>25528.656976943086</v>
      </c>
    </row>
    <row r="48" spans="2:17" s="11" customFormat="1" ht="15.75">
      <c r="B48" s="42">
        <v>1</v>
      </c>
      <c r="C48" s="67">
        <v>30</v>
      </c>
      <c r="D48" s="43">
        <f>Ep1B!A$9</f>
        <v>19</v>
      </c>
      <c r="E48" s="46">
        <f>Ep1B!V$9</f>
        <v>39.749748552860169</v>
      </c>
      <c r="F48" s="44">
        <f>Ep1B!A15</f>
        <v>55</v>
      </c>
      <c r="G48" s="45">
        <f>Ep1B!B15</f>
        <v>31.4738546714782</v>
      </c>
      <c r="H48" s="45">
        <f>Ep1B!D15</f>
        <v>130.55254112984744</v>
      </c>
      <c r="I48" s="45">
        <f>Ep1B!C15</f>
        <v>309.77999999999997</v>
      </c>
      <c r="J48" s="46">
        <f>Ep1B!F15</f>
        <v>558.1557172634499</v>
      </c>
      <c r="K48" s="47">
        <f t="shared" ref="K48:K51" si="2">H48/F48</f>
        <v>2.373682565997226</v>
      </c>
      <c r="L48" s="74">
        <f>Ep1B!T15</f>
        <v>962.34800848938153</v>
      </c>
      <c r="M48" s="48">
        <f>Ep1B!S15</f>
        <v>17.497236517988757</v>
      </c>
      <c r="N48" s="46">
        <f>Ep1B!U14</f>
        <v>77.428630862573698</v>
      </c>
      <c r="O48" s="81">
        <f t="shared" ref="O48:O51" si="3">Q48-P48</f>
        <v>8006.0625099825556</v>
      </c>
      <c r="P48" s="77">
        <f>Ep1B!L$32</f>
        <v>13722.379863534581</v>
      </c>
      <c r="Q48" s="82">
        <f>Ep1B!W$32</f>
        <v>21728.442373517137</v>
      </c>
    </row>
    <row r="49" spans="1:17" s="3" customFormat="1" ht="15.75">
      <c r="A49" s="30"/>
      <c r="B49" s="35">
        <v>2</v>
      </c>
      <c r="C49" s="66">
        <v>27</v>
      </c>
      <c r="D49" s="56">
        <f>Ep2B!A$9</f>
        <v>22</v>
      </c>
      <c r="E49" s="85">
        <f>Ep2B!V$9</f>
        <v>39.749060150375946</v>
      </c>
      <c r="F49" s="37">
        <f>Ep2B!A16</f>
        <v>64</v>
      </c>
      <c r="G49" s="38">
        <f>Ep2B!B16</f>
        <v>30.903385078430102</v>
      </c>
      <c r="H49" s="38">
        <f>Ep2B!D16</f>
        <v>134.71836603825983</v>
      </c>
      <c r="I49" s="38">
        <f>Ep2B!C16</f>
        <v>288</v>
      </c>
      <c r="J49" s="39">
        <f>Ep2B!F16</f>
        <v>545.39192284156798</v>
      </c>
      <c r="K49" s="40">
        <f t="shared" si="2"/>
        <v>2.1049744693478099</v>
      </c>
      <c r="L49" s="73">
        <f>Ep2B!T16</f>
        <v>973.74750881605166</v>
      </c>
      <c r="M49" s="41">
        <f>Ep2B!S16</f>
        <v>15.214804825250807</v>
      </c>
      <c r="N49" s="39">
        <f>Ep2B!U15</f>
        <v>73.847229776659375</v>
      </c>
      <c r="O49" s="79">
        <f t="shared" si="3"/>
        <v>7741.8809708451972</v>
      </c>
      <c r="P49" s="76">
        <f>Ep2B!L$33</f>
        <v>11369.303056133884</v>
      </c>
      <c r="Q49" s="80">
        <f>Ep2B!W$33</f>
        <v>19111.184026979081</v>
      </c>
    </row>
    <row r="50" spans="1:17" s="3" customFormat="1" ht="15.75">
      <c r="A50" s="30"/>
      <c r="B50" s="42">
        <v>3</v>
      </c>
      <c r="C50" s="67">
        <v>24</v>
      </c>
      <c r="D50" s="43">
        <f>Ep3B!A$9</f>
        <v>25</v>
      </c>
      <c r="E50" s="46">
        <f>Ep3B!V$9</f>
        <v>39.749449526839818</v>
      </c>
      <c r="F50" s="44">
        <f>Ep3B!A17</f>
        <v>73</v>
      </c>
      <c r="G50" s="45">
        <f>Ep3B!B17</f>
        <v>29.694760316848701</v>
      </c>
      <c r="H50" s="45">
        <f>Ep3B!D17</f>
        <v>135.36713907018435</v>
      </c>
      <c r="I50" s="45">
        <f>Ep3B!C17</f>
        <v>281.61</v>
      </c>
      <c r="J50" s="46">
        <f>Ep3B!F17</f>
        <v>522.76711492841582</v>
      </c>
      <c r="K50" s="47">
        <f t="shared" si="2"/>
        <v>1.8543443708244431</v>
      </c>
      <c r="L50" s="74">
        <f>Ep3B!T17</f>
        <v>951.0649417833713</v>
      </c>
      <c r="M50" s="48">
        <f>Ep3B!S17</f>
        <v>13.028286873744813</v>
      </c>
      <c r="N50" s="46">
        <f>Ep3B!U16</f>
        <v>70.614202617497909</v>
      </c>
      <c r="O50" s="81">
        <f t="shared" si="3"/>
        <v>6916.868267808155</v>
      </c>
      <c r="P50" s="77">
        <f>Ep3B!L$34</f>
        <v>9137.0932425642859</v>
      </c>
      <c r="Q50" s="82">
        <f>Ep3B!W$34</f>
        <v>16053.961510372441</v>
      </c>
    </row>
    <row r="51" spans="1:17" s="3" customFormat="1" ht="15.75">
      <c r="A51" s="30"/>
      <c r="B51" s="49">
        <v>4</v>
      </c>
      <c r="C51" s="68">
        <v>21</v>
      </c>
      <c r="D51" s="57">
        <f>Ep4B!A$9</f>
        <v>29</v>
      </c>
      <c r="E51" s="86">
        <f>Ep4B!V$9</f>
        <v>39.750989368402252</v>
      </c>
      <c r="F51" s="51">
        <f>Ep4B!A18</f>
        <v>83</v>
      </c>
      <c r="G51" s="52">
        <f>Ep4B!B18</f>
        <v>28.217890075683499</v>
      </c>
      <c r="H51" s="52">
        <f>Ep4B!D18</f>
        <v>134.18678120540517</v>
      </c>
      <c r="I51" s="52">
        <f>Ep4B!C18</f>
        <v>282.33</v>
      </c>
      <c r="J51" s="53">
        <f>Ep4B!F18</f>
        <v>496.06448973286143</v>
      </c>
      <c r="K51" s="54">
        <f t="shared" si="2"/>
        <v>1.6167082072940382</v>
      </c>
      <c r="L51" s="75">
        <f>Ep4B!T18</f>
        <v>909.82785853972746</v>
      </c>
      <c r="M51" s="55">
        <f>Ep4B!S18</f>
        <v>10.961781428189488</v>
      </c>
      <c r="N51" s="53">
        <f>Ep4B!U17</f>
        <v>67.583725418727312</v>
      </c>
      <c r="O51" s="83">
        <f t="shared" si="3"/>
        <v>5752.7073343658258</v>
      </c>
      <c r="P51" s="78">
        <f>Ep4B!L$35</f>
        <v>7089.8627019255355</v>
      </c>
      <c r="Q51" s="84">
        <f>Ep4B!W$35</f>
        <v>12842.570036291361</v>
      </c>
    </row>
    <row r="52" spans="1:17" s="30" customFormat="1">
      <c r="B52" s="4"/>
      <c r="C52" s="4"/>
      <c r="D52" s="32"/>
      <c r="E52" s="33"/>
      <c r="F52" s="6"/>
      <c r="G52" s="6"/>
      <c r="H52" s="6"/>
      <c r="I52" s="6"/>
      <c r="J52" s="6"/>
      <c r="K52" s="7"/>
      <c r="L52" s="6"/>
      <c r="M52" s="7"/>
      <c r="N52" s="6"/>
      <c r="O52" s="6"/>
      <c r="P52" s="6"/>
      <c r="Q52" s="6"/>
    </row>
    <row r="53" spans="1:17" s="144" customFormat="1" ht="29.25" customHeight="1">
      <c r="B53" s="145" t="s">
        <v>126</v>
      </c>
      <c r="C53" s="143"/>
      <c r="D53" s="143"/>
      <c r="E53" s="143"/>
      <c r="F53" s="143"/>
      <c r="G53" s="143"/>
      <c r="H53" s="143"/>
      <c r="I53" s="143"/>
      <c r="J53" s="143"/>
      <c r="K53" s="143"/>
      <c r="L53" s="143"/>
      <c r="M53" s="143"/>
    </row>
    <row r="54" spans="1:17" s="29" customFormat="1" ht="15.75">
      <c r="B54" s="120"/>
      <c r="C54" s="120"/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1"/>
    </row>
    <row r="55" spans="1:17" ht="15.75">
      <c r="B55" s="182" t="s">
        <v>88</v>
      </c>
      <c r="C55" s="182"/>
      <c r="D55" s="183" t="s">
        <v>89</v>
      </c>
      <c r="E55" s="184"/>
      <c r="F55" s="184"/>
      <c r="G55" s="184"/>
      <c r="H55" s="184"/>
      <c r="I55" s="184"/>
      <c r="J55" s="184"/>
      <c r="K55" s="184"/>
      <c r="L55" s="184"/>
      <c r="M55" s="184"/>
      <c r="N55" s="184"/>
      <c r="O55" s="184"/>
      <c r="P55" s="184"/>
      <c r="Q55" s="184"/>
    </row>
    <row r="56" spans="1:17">
      <c r="B56" s="177" t="s">
        <v>1</v>
      </c>
      <c r="C56" s="178"/>
      <c r="D56" s="179" t="s">
        <v>108</v>
      </c>
      <c r="E56" s="180"/>
      <c r="F56" s="180"/>
      <c r="G56" s="180"/>
      <c r="H56" s="180"/>
      <c r="I56" s="180"/>
      <c r="J56" s="180"/>
      <c r="K56" s="180"/>
      <c r="L56" s="180"/>
      <c r="M56" s="180"/>
      <c r="N56" s="180"/>
      <c r="O56" s="180"/>
      <c r="P56" s="180"/>
      <c r="Q56" s="181"/>
    </row>
    <row r="57" spans="1:17">
      <c r="B57" s="157" t="s">
        <v>2</v>
      </c>
      <c r="C57" s="158"/>
      <c r="D57" s="159" t="s">
        <v>90</v>
      </c>
      <c r="E57" s="160"/>
      <c r="F57" s="160"/>
      <c r="G57" s="160"/>
      <c r="H57" s="160"/>
      <c r="I57" s="160"/>
      <c r="J57" s="160"/>
      <c r="K57" s="160"/>
      <c r="L57" s="160"/>
      <c r="M57" s="160"/>
      <c r="N57" s="160"/>
      <c r="O57" s="160"/>
      <c r="P57" s="160"/>
      <c r="Q57" s="161"/>
    </row>
    <row r="58" spans="1:17">
      <c r="B58" s="167" t="s">
        <v>4</v>
      </c>
      <c r="C58" s="168"/>
      <c r="D58" s="169" t="s">
        <v>91</v>
      </c>
      <c r="E58" s="170"/>
      <c r="F58" s="170"/>
      <c r="G58" s="170"/>
      <c r="H58" s="170"/>
      <c r="I58" s="170"/>
      <c r="J58" s="170"/>
      <c r="K58" s="170"/>
      <c r="L58" s="170"/>
      <c r="M58" s="170"/>
      <c r="N58" s="170"/>
      <c r="O58" s="170"/>
      <c r="P58" s="170"/>
      <c r="Q58" s="171"/>
    </row>
    <row r="59" spans="1:17">
      <c r="B59" s="157" t="s">
        <v>5</v>
      </c>
      <c r="C59" s="158"/>
      <c r="D59" s="159" t="s">
        <v>92</v>
      </c>
      <c r="E59" s="160"/>
      <c r="F59" s="160"/>
      <c r="G59" s="160"/>
      <c r="H59" s="160"/>
      <c r="I59" s="160"/>
      <c r="J59" s="160"/>
      <c r="K59" s="160"/>
      <c r="L59" s="160"/>
      <c r="M59" s="160"/>
      <c r="N59" s="160"/>
      <c r="O59" s="160"/>
      <c r="P59" s="160"/>
      <c r="Q59" s="161"/>
    </row>
    <row r="60" spans="1:17">
      <c r="B60" s="167" t="s">
        <v>6</v>
      </c>
      <c r="C60" s="168"/>
      <c r="D60" s="169" t="s">
        <v>93</v>
      </c>
      <c r="E60" s="170"/>
      <c r="F60" s="170"/>
      <c r="G60" s="170"/>
      <c r="H60" s="170"/>
      <c r="I60" s="170"/>
      <c r="J60" s="170"/>
      <c r="K60" s="170"/>
      <c r="L60" s="170"/>
      <c r="M60" s="170"/>
      <c r="N60" s="170"/>
      <c r="O60" s="170"/>
      <c r="P60" s="170"/>
      <c r="Q60" s="171"/>
    </row>
    <row r="61" spans="1:17">
      <c r="B61" s="172" t="s">
        <v>7</v>
      </c>
      <c r="C61" s="173"/>
      <c r="D61" s="174" t="s">
        <v>94</v>
      </c>
      <c r="E61" s="175"/>
      <c r="F61" s="175"/>
      <c r="G61" s="175"/>
      <c r="H61" s="175"/>
      <c r="I61" s="175"/>
      <c r="J61" s="175"/>
      <c r="K61" s="175"/>
      <c r="L61" s="175"/>
      <c r="M61" s="175"/>
      <c r="N61" s="175"/>
      <c r="O61" s="175"/>
      <c r="P61" s="175"/>
      <c r="Q61" s="176"/>
    </row>
    <row r="62" spans="1:17">
      <c r="B62" s="177" t="s">
        <v>15</v>
      </c>
      <c r="C62" s="178"/>
      <c r="D62" s="179" t="s">
        <v>95</v>
      </c>
      <c r="E62" s="180"/>
      <c r="F62" s="180"/>
      <c r="G62" s="180"/>
      <c r="H62" s="180"/>
      <c r="I62" s="180"/>
      <c r="J62" s="180"/>
      <c r="K62" s="180"/>
      <c r="L62" s="180"/>
      <c r="M62" s="180"/>
      <c r="N62" s="180"/>
      <c r="O62" s="180"/>
      <c r="P62" s="180"/>
      <c r="Q62" s="181"/>
    </row>
    <row r="63" spans="1:17">
      <c r="B63" s="157" t="s">
        <v>8</v>
      </c>
      <c r="C63" s="158"/>
      <c r="D63" s="159" t="s">
        <v>96</v>
      </c>
      <c r="E63" s="160"/>
      <c r="F63" s="160"/>
      <c r="G63" s="160"/>
      <c r="H63" s="160"/>
      <c r="I63" s="160"/>
      <c r="J63" s="160"/>
      <c r="K63" s="160"/>
      <c r="L63" s="160"/>
      <c r="M63" s="160"/>
      <c r="N63" s="160"/>
      <c r="O63" s="160"/>
      <c r="P63" s="160"/>
      <c r="Q63" s="161"/>
    </row>
    <row r="64" spans="1:17">
      <c r="B64" s="167" t="s">
        <v>9</v>
      </c>
      <c r="C64" s="168"/>
      <c r="D64" s="169" t="s">
        <v>97</v>
      </c>
      <c r="E64" s="170"/>
      <c r="F64" s="170"/>
      <c r="G64" s="170"/>
      <c r="H64" s="170"/>
      <c r="I64" s="170"/>
      <c r="J64" s="170"/>
      <c r="K64" s="170"/>
      <c r="L64" s="170"/>
      <c r="M64" s="170"/>
      <c r="N64" s="170"/>
      <c r="O64" s="170"/>
      <c r="P64" s="170"/>
      <c r="Q64" s="171"/>
    </row>
    <row r="65" spans="2:17">
      <c r="B65" s="157" t="s">
        <v>10</v>
      </c>
      <c r="C65" s="158"/>
      <c r="D65" s="159" t="s">
        <v>98</v>
      </c>
      <c r="E65" s="160"/>
      <c r="F65" s="160"/>
      <c r="G65" s="160"/>
      <c r="H65" s="160"/>
      <c r="I65" s="160"/>
      <c r="J65" s="160"/>
      <c r="K65" s="160"/>
      <c r="L65" s="160"/>
      <c r="M65" s="160"/>
      <c r="N65" s="160"/>
      <c r="O65" s="160"/>
      <c r="P65" s="160"/>
      <c r="Q65" s="161"/>
    </row>
    <row r="66" spans="2:17">
      <c r="B66" s="167" t="s">
        <v>11</v>
      </c>
      <c r="C66" s="168"/>
      <c r="D66" s="169" t="s">
        <v>99</v>
      </c>
      <c r="E66" s="170"/>
      <c r="F66" s="170"/>
      <c r="G66" s="170"/>
      <c r="H66" s="170"/>
      <c r="I66" s="170"/>
      <c r="J66" s="170"/>
      <c r="K66" s="170"/>
      <c r="L66" s="170"/>
      <c r="M66" s="170"/>
      <c r="N66" s="170"/>
      <c r="O66" s="170"/>
      <c r="P66" s="170"/>
      <c r="Q66" s="171"/>
    </row>
    <row r="67" spans="2:17">
      <c r="B67" s="172" t="s">
        <v>12</v>
      </c>
      <c r="C67" s="173"/>
      <c r="D67" s="174" t="s">
        <v>100</v>
      </c>
      <c r="E67" s="175"/>
      <c r="F67" s="175"/>
      <c r="G67" s="175"/>
      <c r="H67" s="175"/>
      <c r="I67" s="175"/>
      <c r="J67" s="175"/>
      <c r="K67" s="175"/>
      <c r="L67" s="175"/>
      <c r="M67" s="175"/>
      <c r="N67" s="175"/>
      <c r="O67" s="175"/>
      <c r="P67" s="175"/>
      <c r="Q67" s="176"/>
    </row>
    <row r="68" spans="2:17">
      <c r="B68" s="177" t="s">
        <v>14</v>
      </c>
      <c r="C68" s="178"/>
      <c r="D68" s="179" t="s">
        <v>101</v>
      </c>
      <c r="E68" s="180"/>
      <c r="F68" s="180"/>
      <c r="G68" s="180"/>
      <c r="H68" s="180"/>
      <c r="I68" s="180"/>
      <c r="J68" s="180"/>
      <c r="K68" s="180"/>
      <c r="L68" s="180"/>
      <c r="M68" s="180"/>
      <c r="N68" s="180"/>
      <c r="O68" s="180"/>
      <c r="P68" s="180"/>
      <c r="Q68" s="181"/>
    </row>
    <row r="69" spans="2:17">
      <c r="B69" s="157" t="s">
        <v>102</v>
      </c>
      <c r="C69" s="158"/>
      <c r="D69" s="159" t="s">
        <v>103</v>
      </c>
      <c r="E69" s="160"/>
      <c r="F69" s="160"/>
      <c r="G69" s="160"/>
      <c r="H69" s="160"/>
      <c r="I69" s="160"/>
      <c r="J69" s="160"/>
      <c r="K69" s="160"/>
      <c r="L69" s="160"/>
      <c r="M69" s="160"/>
      <c r="N69" s="160"/>
      <c r="O69" s="160"/>
      <c r="P69" s="160"/>
      <c r="Q69" s="161"/>
    </row>
    <row r="70" spans="2:17">
      <c r="B70" s="162" t="s">
        <v>31</v>
      </c>
      <c r="C70" s="163"/>
      <c r="D70" s="164" t="s">
        <v>104</v>
      </c>
      <c r="E70" s="165"/>
      <c r="F70" s="165"/>
      <c r="G70" s="165"/>
      <c r="H70" s="165"/>
      <c r="I70" s="165"/>
      <c r="J70" s="165"/>
      <c r="K70" s="165"/>
      <c r="L70" s="165"/>
      <c r="M70" s="165"/>
      <c r="N70" s="165"/>
      <c r="O70" s="165"/>
      <c r="P70" s="165"/>
      <c r="Q70" s="166"/>
    </row>
    <row r="71" spans="2:17">
      <c r="B71" s="157" t="s">
        <v>114</v>
      </c>
      <c r="C71" s="158"/>
      <c r="D71" s="159" t="s">
        <v>119</v>
      </c>
      <c r="E71" s="160"/>
      <c r="F71" s="160"/>
      <c r="G71" s="160"/>
      <c r="H71" s="160"/>
      <c r="I71" s="160"/>
      <c r="J71" s="160"/>
      <c r="K71" s="160"/>
      <c r="L71" s="160"/>
      <c r="M71" s="160"/>
      <c r="N71" s="160"/>
      <c r="O71" s="160"/>
      <c r="P71" s="160"/>
      <c r="Q71" s="161"/>
    </row>
    <row r="72" spans="2:17">
      <c r="B72" s="167" t="s">
        <v>115</v>
      </c>
      <c r="C72" s="168"/>
      <c r="D72" s="169" t="s">
        <v>120</v>
      </c>
      <c r="E72" s="170"/>
      <c r="F72" s="170"/>
      <c r="G72" s="170"/>
      <c r="H72" s="170"/>
      <c r="I72" s="170"/>
      <c r="J72" s="170"/>
      <c r="K72" s="170"/>
      <c r="L72" s="170"/>
      <c r="M72" s="170"/>
      <c r="N72" s="170"/>
      <c r="O72" s="170"/>
      <c r="P72" s="170"/>
      <c r="Q72" s="171"/>
    </row>
    <row r="73" spans="2:17">
      <c r="B73" s="157" t="s">
        <v>116</v>
      </c>
      <c r="C73" s="158"/>
      <c r="D73" s="159" t="s">
        <v>118</v>
      </c>
      <c r="E73" s="160"/>
      <c r="F73" s="160"/>
      <c r="G73" s="160"/>
      <c r="H73" s="160"/>
      <c r="I73" s="160"/>
      <c r="J73" s="160"/>
      <c r="K73" s="160"/>
      <c r="L73" s="160"/>
      <c r="M73" s="160"/>
      <c r="N73" s="160"/>
      <c r="O73" s="160"/>
      <c r="P73" s="160"/>
      <c r="Q73" s="161"/>
    </row>
    <row r="74" spans="2:17">
      <c r="B74" s="162" t="s">
        <v>117</v>
      </c>
      <c r="C74" s="163"/>
      <c r="D74" s="164" t="s">
        <v>112</v>
      </c>
      <c r="E74" s="165"/>
      <c r="F74" s="165"/>
      <c r="G74" s="165"/>
      <c r="H74" s="165"/>
      <c r="I74" s="165"/>
      <c r="J74" s="165"/>
      <c r="K74" s="165"/>
      <c r="L74" s="165"/>
      <c r="M74" s="165"/>
      <c r="N74" s="165"/>
      <c r="O74" s="165"/>
      <c r="P74" s="165"/>
      <c r="Q74" s="166"/>
    </row>
    <row r="75" spans="2:17">
      <c r="B75" s="8"/>
      <c r="C75" s="147" t="s">
        <v>121</v>
      </c>
      <c r="D75" s="8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</row>
    <row r="76" spans="2:17" ht="15.75"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1" t="s">
        <v>77</v>
      </c>
    </row>
    <row r="77" spans="2:17" ht="15.75"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1" t="s">
        <v>78</v>
      </c>
    </row>
  </sheetData>
  <mergeCells count="55">
    <mergeCell ref="B56:C56"/>
    <mergeCell ref="D56:Q56"/>
    <mergeCell ref="B55:C55"/>
    <mergeCell ref="D55:Q55"/>
    <mergeCell ref="B57:C57"/>
    <mergeCell ref="D57:Q57"/>
    <mergeCell ref="B58:C58"/>
    <mergeCell ref="D58:Q58"/>
    <mergeCell ref="B59:C59"/>
    <mergeCell ref="D59:Q59"/>
    <mergeCell ref="B60:C60"/>
    <mergeCell ref="D60:Q60"/>
    <mergeCell ref="B61:C61"/>
    <mergeCell ref="D61:Q61"/>
    <mergeCell ref="B62:C62"/>
    <mergeCell ref="D62:Q62"/>
    <mergeCell ref="B63:C63"/>
    <mergeCell ref="D63:Q63"/>
    <mergeCell ref="B64:C64"/>
    <mergeCell ref="D64:Q64"/>
    <mergeCell ref="B65:C65"/>
    <mergeCell ref="D65:Q65"/>
    <mergeCell ref="B66:C66"/>
    <mergeCell ref="D66:Q66"/>
    <mergeCell ref="B67:C67"/>
    <mergeCell ref="D67:Q67"/>
    <mergeCell ref="B68:C68"/>
    <mergeCell ref="D68:Q68"/>
    <mergeCell ref="B69:C69"/>
    <mergeCell ref="D69:Q69"/>
    <mergeCell ref="B73:C73"/>
    <mergeCell ref="D73:Q73"/>
    <mergeCell ref="B74:C74"/>
    <mergeCell ref="D74:Q74"/>
    <mergeCell ref="B70:C70"/>
    <mergeCell ref="D70:Q70"/>
    <mergeCell ref="B71:C71"/>
    <mergeCell ref="B72:C72"/>
    <mergeCell ref="D71:Q71"/>
    <mergeCell ref="D72:Q72"/>
    <mergeCell ref="O33:Q33"/>
    <mergeCell ref="F44:J44"/>
    <mergeCell ref="K44:N44"/>
    <mergeCell ref="O44:Q44"/>
    <mergeCell ref="D33:E33"/>
    <mergeCell ref="B33:C33"/>
    <mergeCell ref="B44:C44"/>
    <mergeCell ref="D44:E44"/>
    <mergeCell ref="F33:J33"/>
    <mergeCell ref="K33:N33"/>
    <mergeCell ref="F2:N2"/>
    <mergeCell ref="F3:N3"/>
    <mergeCell ref="B9:B10"/>
    <mergeCell ref="C9:G9"/>
    <mergeCell ref="B5:Q5"/>
  </mergeCells>
  <pageMargins left="0.70866141732283472" right="0.70866141732283472" top="0.74803149606299213" bottom="0.74803149606299213" header="0.31496062992125984" footer="0.31496062992125984"/>
  <pageSetup paperSize="9" scale="5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46"/>
  <sheetViews>
    <sheetView workbookViewId="0">
      <selection activeCell="W23" sqref="W23:W24"/>
    </sheetView>
  </sheetViews>
  <sheetFormatPr baseColWidth="10" defaultRowHeight="15"/>
  <cols>
    <col min="1" max="21" width="6.7109375" style="9" customWidth="1"/>
    <col min="22" max="23" width="6.7109375" style="17" customWidth="1"/>
    <col min="24" max="16384" width="11.42578125" style="17"/>
  </cols>
  <sheetData>
    <row r="1" spans="1:27" ht="30.75" customHeight="1">
      <c r="D1" s="151" t="s">
        <v>54</v>
      </c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</row>
    <row r="2" spans="1:27">
      <c r="A2" s="12"/>
      <c r="B2" s="14"/>
      <c r="C2" s="13"/>
      <c r="D2" s="13"/>
      <c r="E2" s="13"/>
      <c r="F2" s="13"/>
      <c r="G2" s="13"/>
      <c r="H2" s="13"/>
      <c r="I2" s="13"/>
      <c r="J2" s="13"/>
      <c r="K2" s="14"/>
      <c r="L2" s="13"/>
      <c r="M2" s="13"/>
      <c r="U2" s="15"/>
      <c r="V2" s="15"/>
      <c r="W2" s="15"/>
    </row>
    <row r="3" spans="1:27">
      <c r="A3" s="12" t="s">
        <v>85</v>
      </c>
      <c r="B3" s="12"/>
      <c r="C3" s="12"/>
      <c r="D3" s="14"/>
      <c r="E3" s="14" t="s">
        <v>80</v>
      </c>
      <c r="F3" s="14"/>
      <c r="G3" s="13"/>
      <c r="H3" s="13"/>
      <c r="I3" s="14"/>
      <c r="J3" s="13"/>
      <c r="K3" s="14" t="s">
        <v>81</v>
      </c>
      <c r="L3" s="14"/>
      <c r="M3" s="14"/>
      <c r="N3" s="13"/>
      <c r="R3" s="14" t="s">
        <v>83</v>
      </c>
      <c r="V3" s="9"/>
      <c r="W3" s="9"/>
    </row>
    <row r="4" spans="1:27">
      <c r="A4" s="13"/>
      <c r="B4" s="14"/>
      <c r="C4" s="13"/>
      <c r="D4" s="14"/>
      <c r="E4" s="14" t="s">
        <v>37</v>
      </c>
      <c r="F4" s="14"/>
      <c r="G4" s="13"/>
      <c r="H4" s="13"/>
      <c r="I4" s="14"/>
      <c r="J4" s="13"/>
      <c r="K4" s="14" t="s">
        <v>82</v>
      </c>
      <c r="L4" s="13"/>
      <c r="M4" s="13"/>
      <c r="N4" s="13"/>
      <c r="O4" s="8"/>
      <c r="P4" s="8"/>
      <c r="Q4" s="8"/>
      <c r="R4" s="14" t="s">
        <v>84</v>
      </c>
      <c r="S4" s="8"/>
      <c r="T4" s="8"/>
      <c r="U4" s="8"/>
      <c r="V4" s="8"/>
      <c r="W4" s="13"/>
    </row>
    <row r="5" spans="1:27">
      <c r="A5" s="12" t="s">
        <v>0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7">
      <c r="A6" s="185" t="s">
        <v>1</v>
      </c>
      <c r="B6" s="185" t="s">
        <v>2</v>
      </c>
      <c r="C6" s="198" t="s">
        <v>109</v>
      </c>
      <c r="D6" s="199"/>
      <c r="E6" s="199"/>
      <c r="F6" s="199"/>
      <c r="G6" s="199" t="s">
        <v>110</v>
      </c>
      <c r="H6" s="199"/>
      <c r="I6" s="199"/>
      <c r="J6" s="199"/>
      <c r="K6" s="199" t="s">
        <v>111</v>
      </c>
      <c r="L6" s="199"/>
      <c r="M6" s="199"/>
      <c r="N6" s="199"/>
      <c r="O6" s="195" t="s">
        <v>3</v>
      </c>
      <c r="P6" s="196"/>
      <c r="Q6" s="196"/>
      <c r="R6" s="196"/>
      <c r="S6" s="196"/>
      <c r="T6" s="197"/>
      <c r="U6" s="187" t="s">
        <v>14</v>
      </c>
      <c r="V6" s="193" t="s">
        <v>64</v>
      </c>
      <c r="W6" s="187" t="s">
        <v>31</v>
      </c>
    </row>
    <row r="7" spans="1:27">
      <c r="A7" s="186"/>
      <c r="B7" s="186"/>
      <c r="C7" s="101" t="s">
        <v>4</v>
      </c>
      <c r="D7" s="101" t="s">
        <v>5</v>
      </c>
      <c r="E7" s="101" t="s">
        <v>6</v>
      </c>
      <c r="F7" s="101" t="s">
        <v>7</v>
      </c>
      <c r="G7" s="101" t="s">
        <v>4</v>
      </c>
      <c r="H7" s="101" t="s">
        <v>5</v>
      </c>
      <c r="I7" s="101" t="s">
        <v>6</v>
      </c>
      <c r="J7" s="101" t="s">
        <v>7</v>
      </c>
      <c r="K7" s="101" t="s">
        <v>4</v>
      </c>
      <c r="L7" s="101" t="s">
        <v>5</v>
      </c>
      <c r="M7" s="101" t="s">
        <v>6</v>
      </c>
      <c r="N7" s="101" t="s">
        <v>7</v>
      </c>
      <c r="O7" s="99" t="s">
        <v>15</v>
      </c>
      <c r="P7" s="101" t="s">
        <v>8</v>
      </c>
      <c r="Q7" s="101" t="s">
        <v>9</v>
      </c>
      <c r="R7" s="101" t="s">
        <v>10</v>
      </c>
      <c r="S7" s="101" t="s">
        <v>11</v>
      </c>
      <c r="T7" s="101" t="s">
        <v>12</v>
      </c>
      <c r="U7" s="192"/>
      <c r="V7" s="194"/>
      <c r="W7" s="188"/>
    </row>
    <row r="8" spans="1:27" s="95" customFormat="1" ht="12" customHeight="1">
      <c r="A8" s="92" t="s">
        <v>65</v>
      </c>
      <c r="B8" s="92" t="s">
        <v>66</v>
      </c>
      <c r="C8" s="92" t="s">
        <v>67</v>
      </c>
      <c r="D8" s="92" t="s">
        <v>68</v>
      </c>
      <c r="E8" s="92" t="s">
        <v>69</v>
      </c>
      <c r="F8" s="92" t="s">
        <v>70</v>
      </c>
      <c r="G8" s="92" t="s">
        <v>67</v>
      </c>
      <c r="H8" s="92" t="s">
        <v>68</v>
      </c>
      <c r="I8" s="92" t="s">
        <v>69</v>
      </c>
      <c r="J8" s="92" t="s">
        <v>70</v>
      </c>
      <c r="K8" s="92" t="s">
        <v>67</v>
      </c>
      <c r="L8" s="92" t="s">
        <v>68</v>
      </c>
      <c r="M8" s="92" t="s">
        <v>69</v>
      </c>
      <c r="N8" s="92" t="s">
        <v>70</v>
      </c>
      <c r="O8" s="92" t="s">
        <v>71</v>
      </c>
      <c r="P8" s="92" t="s">
        <v>72</v>
      </c>
      <c r="Q8" s="92" t="s">
        <v>72</v>
      </c>
      <c r="R8" s="92" t="s">
        <v>73</v>
      </c>
      <c r="S8" s="92" t="s">
        <v>73</v>
      </c>
      <c r="T8" s="92" t="s">
        <v>70</v>
      </c>
      <c r="U8" s="93"/>
      <c r="V8" s="94" t="s">
        <v>74</v>
      </c>
      <c r="W8" s="92" t="s">
        <v>66</v>
      </c>
    </row>
    <row r="9" spans="1:27">
      <c r="A9" s="22">
        <v>17</v>
      </c>
      <c r="B9" s="19">
        <v>12.9240234222412</v>
      </c>
      <c r="C9" s="18">
        <v>1708.9549999999999</v>
      </c>
      <c r="D9" s="18">
        <v>43.572964192519557</v>
      </c>
      <c r="E9" s="19">
        <v>25.819924827883053</v>
      </c>
      <c r="F9" s="18">
        <v>149.50424133136104</v>
      </c>
      <c r="G9" s="18">
        <v>557.85499999999979</v>
      </c>
      <c r="H9" s="18">
        <v>40.649725232670605</v>
      </c>
      <c r="I9" s="19">
        <v>7.335448876826824</v>
      </c>
      <c r="J9" s="18">
        <v>41.052312550940641</v>
      </c>
      <c r="K9" s="18">
        <v>1151.1000000000001</v>
      </c>
      <c r="L9" s="18">
        <v>44.921264859767177</v>
      </c>
      <c r="M9" s="19">
        <v>18.484475951056229</v>
      </c>
      <c r="N9" s="18">
        <v>108.4519287804204</v>
      </c>
      <c r="O9" s="19">
        <v>2.4830571900355074</v>
      </c>
      <c r="P9" s="20">
        <v>2.362704574873725</v>
      </c>
      <c r="Q9" s="20">
        <v>1.5188191075225326</v>
      </c>
      <c r="R9" s="19">
        <v>25.226858642020204</v>
      </c>
      <c r="S9" s="19">
        <v>8.7943671371388845</v>
      </c>
      <c r="T9" s="91">
        <v>149.50424133136104</v>
      </c>
      <c r="U9" s="18">
        <v>90.384848166863947</v>
      </c>
      <c r="V9" s="19">
        <v>32.643047944504083</v>
      </c>
      <c r="W9" s="23">
        <v>3.1672194603841199</v>
      </c>
      <c r="Y9" s="16"/>
      <c r="Z9" s="16"/>
      <c r="AA9" s="16"/>
    </row>
    <row r="10" spans="1:27">
      <c r="A10" s="102">
        <v>23</v>
      </c>
      <c r="B10" s="103">
        <v>17.553035156250001</v>
      </c>
      <c r="C10" s="104">
        <v>1146.96</v>
      </c>
      <c r="D10" s="104">
        <v>59.819607999980221</v>
      </c>
      <c r="E10" s="103">
        <v>32.66070340029858</v>
      </c>
      <c r="F10" s="104">
        <v>259.81308063254164</v>
      </c>
      <c r="G10" s="104">
        <v>369.09000000000003</v>
      </c>
      <c r="H10" s="104">
        <v>50.850766562579338</v>
      </c>
      <c r="I10" s="103">
        <v>7.5948189104940269</v>
      </c>
      <c r="J10" s="104">
        <v>57.222803465263837</v>
      </c>
      <c r="K10" s="104">
        <v>777.87</v>
      </c>
      <c r="L10" s="104">
        <v>63.634544212551148</v>
      </c>
      <c r="M10" s="103">
        <v>25.065884489804553</v>
      </c>
      <c r="N10" s="104">
        <v>202.5902771672778</v>
      </c>
      <c r="O10" s="103">
        <v>2.3564954221632917</v>
      </c>
      <c r="P10" s="105">
        <v>2.0374383751587444</v>
      </c>
      <c r="Q10" s="105">
        <v>1.7389631424837133</v>
      </c>
      <c r="R10" s="103">
        <v>26.76647616209895</v>
      </c>
      <c r="S10" s="103">
        <v>13.081104051455752</v>
      </c>
      <c r="T10" s="106">
        <v>300.8653931834823</v>
      </c>
      <c r="U10" s="104">
        <v>86.658098957832692</v>
      </c>
      <c r="V10" s="103">
        <v>32.179849340866291</v>
      </c>
      <c r="W10" s="103">
        <v>3.8528417640325832</v>
      </c>
    </row>
    <row r="11" spans="1:27">
      <c r="A11" s="100">
        <v>29</v>
      </c>
      <c r="B11" s="23">
        <v>21.760604995727501</v>
      </c>
      <c r="C11" s="24">
        <v>774.72</v>
      </c>
      <c r="D11" s="24">
        <v>77.773516745530898</v>
      </c>
      <c r="E11" s="23">
        <v>37.290514740757018</v>
      </c>
      <c r="F11" s="24">
        <v>363.1891341398715</v>
      </c>
      <c r="G11" s="24">
        <v>212.49</v>
      </c>
      <c r="H11" s="24">
        <v>67.742327696825882</v>
      </c>
      <c r="I11" s="23">
        <v>7.7597702556637458</v>
      </c>
      <c r="J11" s="24">
        <v>73.76665803415284</v>
      </c>
      <c r="K11" s="24">
        <v>562.23</v>
      </c>
      <c r="L11" s="24">
        <v>81.242844800902276</v>
      </c>
      <c r="M11" s="23">
        <v>29.530744485093273</v>
      </c>
      <c r="N11" s="24">
        <v>289.42247610571866</v>
      </c>
      <c r="O11" s="23">
        <v>2.2693991049729667</v>
      </c>
      <c r="P11" s="21">
        <v>1.7654935651805701</v>
      </c>
      <c r="Q11" s="21">
        <v>1.8007166388992368</v>
      </c>
      <c r="R11" s="23">
        <v>26.393269055125046</v>
      </c>
      <c r="S11" s="23">
        <v>15.912560350209517</v>
      </c>
      <c r="T11" s="89">
        <v>461.46425015607599</v>
      </c>
      <c r="U11" s="24">
        <v>84.146434014934485</v>
      </c>
      <c r="V11" s="23">
        <v>27.427973977695167</v>
      </c>
      <c r="W11" s="23">
        <v>4.5318724328588065</v>
      </c>
    </row>
    <row r="12" spans="1:27">
      <c r="A12" s="102">
        <v>35</v>
      </c>
      <c r="B12" s="103">
        <v>25.4596324634552</v>
      </c>
      <c r="C12" s="104">
        <v>560.34</v>
      </c>
      <c r="D12" s="104">
        <v>94.859239430740075</v>
      </c>
      <c r="E12" s="103">
        <v>40.123705876176693</v>
      </c>
      <c r="F12" s="104">
        <v>447.78209043646893</v>
      </c>
      <c r="G12" s="104">
        <v>132.03000000000003</v>
      </c>
      <c r="H12" s="104">
        <v>83.922973266744322</v>
      </c>
      <c r="I12" s="103">
        <v>7.3998766933990225</v>
      </c>
      <c r="J12" s="104">
        <v>81.538502731586163</v>
      </c>
      <c r="K12" s="104">
        <v>428.31</v>
      </c>
      <c r="L12" s="104">
        <v>97.984613386977827</v>
      </c>
      <c r="M12" s="103">
        <v>32.723829182777671</v>
      </c>
      <c r="N12" s="104">
        <v>366.24358770488277</v>
      </c>
      <c r="O12" s="103">
        <v>2.2025054105700002</v>
      </c>
      <c r="P12" s="105">
        <v>1.5482022287411101</v>
      </c>
      <c r="Q12" s="105">
        <v>1.7946783976903227</v>
      </c>
      <c r="R12" s="103">
        <v>25.210738172190172</v>
      </c>
      <c r="S12" s="103">
        <v>17.70925327105218</v>
      </c>
      <c r="T12" s="106">
        <v>619.82386448682632</v>
      </c>
      <c r="U12" s="104">
        <v>81.628932896230552</v>
      </c>
      <c r="V12" s="103">
        <v>23.562479922903957</v>
      </c>
      <c r="W12" s="103">
        <v>5.1922497851566929</v>
      </c>
    </row>
    <row r="13" spans="1:27">
      <c r="A13" s="100">
        <v>41</v>
      </c>
      <c r="B13" s="23">
        <v>28.6798092346191</v>
      </c>
      <c r="C13" s="24">
        <v>426.96</v>
      </c>
      <c r="D13" s="24">
        <v>111.19964585039783</v>
      </c>
      <c r="E13" s="23">
        <v>42.013042555224331</v>
      </c>
      <c r="F13" s="24">
        <v>517.5080167380238</v>
      </c>
      <c r="G13" s="24">
        <v>92.339999999999975</v>
      </c>
      <c r="H13" s="24">
        <v>101.25850231749421</v>
      </c>
      <c r="I13" s="23">
        <v>7.5343016734109085</v>
      </c>
      <c r="J13" s="24">
        <v>92.58114934719282</v>
      </c>
      <c r="K13" s="24">
        <v>334.62</v>
      </c>
      <c r="L13" s="24">
        <v>113.79015352318429</v>
      </c>
      <c r="M13" s="23">
        <v>34.478740881813422</v>
      </c>
      <c r="N13" s="24">
        <v>424.92686739083098</v>
      </c>
      <c r="O13" s="23">
        <v>2.1613885002317943</v>
      </c>
      <c r="P13" s="21">
        <v>1.3691080387234205</v>
      </c>
      <c r="Q13" s="21">
        <v>1.7586087144294622</v>
      </c>
      <c r="R13" s="23">
        <v>23.535644065992916</v>
      </c>
      <c r="S13" s="23">
        <v>18.807031549267492</v>
      </c>
      <c r="T13" s="89">
        <v>771.08829351996724</v>
      </c>
      <c r="U13" s="24">
        <v>79.181084837431484</v>
      </c>
      <c r="V13" s="23">
        <v>21.627318718381108</v>
      </c>
      <c r="W13" s="23">
        <v>5.8743353651020156</v>
      </c>
      <c r="Y13" s="16"/>
      <c r="AA13" s="16"/>
    </row>
    <row r="14" spans="1:27">
      <c r="A14" s="102">
        <v>47</v>
      </c>
      <c r="B14" s="103">
        <v>31.434827068328801</v>
      </c>
      <c r="C14" s="104">
        <v>333.90000000000003</v>
      </c>
      <c r="D14" s="104">
        <v>126.75848452457505</v>
      </c>
      <c r="E14" s="103">
        <v>42.693389114153945</v>
      </c>
      <c r="F14" s="104">
        <v>566.14073178678848</v>
      </c>
      <c r="G14" s="104">
        <v>62.550000000000011</v>
      </c>
      <c r="H14" s="104">
        <v>115.53556575296892</v>
      </c>
      <c r="I14" s="103">
        <v>6.6442939937629291</v>
      </c>
      <c r="J14" s="104">
        <v>88.047578361077171</v>
      </c>
      <c r="K14" s="104">
        <v>271.35000000000002</v>
      </c>
      <c r="L14" s="104">
        <v>129.2073451300945</v>
      </c>
      <c r="M14" s="103">
        <v>36.049095120391016</v>
      </c>
      <c r="N14" s="104">
        <v>478.09315342571131</v>
      </c>
      <c r="O14" s="103">
        <v>2.1233914052750955</v>
      </c>
      <c r="P14" s="105">
        <v>1.2336559083616361</v>
      </c>
      <c r="Q14" s="105">
        <v>1.7088852239137973</v>
      </c>
      <c r="R14" s="103">
        <v>22.016476168257288</v>
      </c>
      <c r="S14" s="103">
        <v>19.410684210977124</v>
      </c>
      <c r="T14" s="106">
        <v>912.30215791592479</v>
      </c>
      <c r="U14" s="104">
        <v>76.431739763164273</v>
      </c>
      <c r="V14" s="103">
        <v>18.733153638814017</v>
      </c>
      <c r="W14" s="103">
        <v>6.5233363412851322</v>
      </c>
      <c r="Y14" s="16"/>
    </row>
    <row r="15" spans="1:27">
      <c r="A15" s="100">
        <v>53</v>
      </c>
      <c r="B15" s="23">
        <v>33.818500507354699</v>
      </c>
      <c r="C15" s="24">
        <v>270.99</v>
      </c>
      <c r="D15" s="24">
        <v>141.94769356174507</v>
      </c>
      <c r="E15" s="23">
        <v>43.451030570560832</v>
      </c>
      <c r="F15" s="24">
        <v>610.19201043525504</v>
      </c>
      <c r="G15" s="24">
        <v>43.830000000000013</v>
      </c>
      <c r="H15" s="24">
        <v>131.35037746317403</v>
      </c>
      <c r="I15" s="23">
        <v>6.0176130368252387</v>
      </c>
      <c r="J15" s="24">
        <v>84.828817339108127</v>
      </c>
      <c r="K15" s="24">
        <v>227.16</v>
      </c>
      <c r="L15" s="24">
        <v>143.90263329093511</v>
      </c>
      <c r="M15" s="23">
        <v>37.433417533735593</v>
      </c>
      <c r="N15" s="24">
        <v>525.36319309614692</v>
      </c>
      <c r="O15" s="23">
        <v>2.0881447546733987</v>
      </c>
      <c r="P15" s="21">
        <v>1.1278296915307944</v>
      </c>
      <c r="Q15" s="21">
        <v>1.6550856787569488</v>
      </c>
      <c r="R15" s="23">
        <v>20.653302971369403</v>
      </c>
      <c r="S15" s="23">
        <v>19.705679526895636</v>
      </c>
      <c r="T15" s="89">
        <v>1044.4010149254686</v>
      </c>
      <c r="U15" s="24">
        <v>73.830443765771491</v>
      </c>
      <c r="V15" s="23">
        <v>16.174028561939558</v>
      </c>
      <c r="W15" s="23">
        <v>7.1296589244318636</v>
      </c>
      <c r="Y15" s="16"/>
    </row>
    <row r="16" spans="1:27">
      <c r="A16" s="102">
        <v>59</v>
      </c>
      <c r="B16" s="103">
        <v>35.865319549560503</v>
      </c>
      <c r="C16" s="104">
        <v>226.98</v>
      </c>
      <c r="D16" s="104">
        <v>156.43150181897551</v>
      </c>
      <c r="E16" s="103">
        <v>44.200395682920359</v>
      </c>
      <c r="F16" s="104">
        <v>649.28301092436334</v>
      </c>
      <c r="G16" s="104">
        <v>32.579999999999984</v>
      </c>
      <c r="H16" s="104">
        <v>145.81513430636829</v>
      </c>
      <c r="I16" s="103">
        <v>5.5124723024272768</v>
      </c>
      <c r="J16" s="104">
        <v>81.293397740099067</v>
      </c>
      <c r="K16" s="104">
        <v>194.4</v>
      </c>
      <c r="L16" s="104">
        <v>158.14101112016257</v>
      </c>
      <c r="M16" s="103">
        <v>38.687923380493082</v>
      </c>
      <c r="N16" s="104">
        <v>567.98961318426427</v>
      </c>
      <c r="O16" s="103">
        <v>2.0594596196113222</v>
      </c>
      <c r="P16" s="105">
        <v>1.0470284613454954</v>
      </c>
      <c r="Q16" s="105">
        <v>1.6014664258186959</v>
      </c>
      <c r="R16" s="103">
        <v>19.519474000396485</v>
      </c>
      <c r="S16" s="103">
        <v>19.802048012774321</v>
      </c>
      <c r="T16" s="106">
        <v>1168.320832753685</v>
      </c>
      <c r="U16" s="104">
        <v>71.249212090805955</v>
      </c>
      <c r="V16" s="103">
        <v>14.353687549563832</v>
      </c>
      <c r="W16" s="103">
        <v>7.7070212042366988</v>
      </c>
      <c r="Y16" s="16"/>
    </row>
    <row r="17" spans="1:25">
      <c r="A17" s="100">
        <v>65</v>
      </c>
      <c r="B17" s="23">
        <v>37.658007293701097</v>
      </c>
      <c r="C17" s="24">
        <v>194.4</v>
      </c>
      <c r="D17" s="24">
        <v>170.49776883783051</v>
      </c>
      <c r="E17" s="23">
        <v>44.970094148566055</v>
      </c>
      <c r="F17" s="24">
        <v>685.10645718664318</v>
      </c>
      <c r="G17" s="24">
        <v>25.199999999999989</v>
      </c>
      <c r="H17" s="24">
        <v>160.01499643071239</v>
      </c>
      <c r="I17" s="23">
        <v>5.1346642295212206</v>
      </c>
      <c r="J17" s="24">
        <v>78.752541478908597</v>
      </c>
      <c r="K17" s="24">
        <v>169.20000000000002</v>
      </c>
      <c r="L17" s="24">
        <v>172.00438032952613</v>
      </c>
      <c r="M17" s="23">
        <v>39.835429919044834</v>
      </c>
      <c r="N17" s="24">
        <v>606.35391570773459</v>
      </c>
      <c r="O17" s="23">
        <v>2.0420752328479637</v>
      </c>
      <c r="P17" s="21">
        <v>0.97955939392088942</v>
      </c>
      <c r="Q17" s="21">
        <v>1.5502875367904003</v>
      </c>
      <c r="R17" s="23">
        <v>18.504468007394411</v>
      </c>
      <c r="S17" s="23">
        <v>19.775964257785599</v>
      </c>
      <c r="T17" s="89">
        <v>1285.4376767560639</v>
      </c>
      <c r="U17" s="24">
        <v>68.780875717276061</v>
      </c>
      <c r="V17" s="23">
        <v>12.962962962962958</v>
      </c>
      <c r="W17" s="23">
        <v>8.2610358109724071</v>
      </c>
      <c r="Y17" s="16"/>
    </row>
    <row r="18" spans="1:25">
      <c r="A18" s="102">
        <v>71</v>
      </c>
      <c r="B18" s="103">
        <v>39.223343090057298</v>
      </c>
      <c r="C18" s="104">
        <v>169.20000000000002</v>
      </c>
      <c r="D18" s="104">
        <v>184.25683172661391</v>
      </c>
      <c r="E18" s="103">
        <v>45.712786282570171</v>
      </c>
      <c r="F18" s="104">
        <v>717.38072375210106</v>
      </c>
      <c r="G18" s="104">
        <v>19.97999999999999</v>
      </c>
      <c r="H18" s="104">
        <v>173.4904261222203</v>
      </c>
      <c r="I18" s="103">
        <v>4.7856027728093338</v>
      </c>
      <c r="J18" s="104">
        <v>75.567280102377367</v>
      </c>
      <c r="K18" s="104">
        <v>149.22000000000003</v>
      </c>
      <c r="L18" s="104">
        <v>185.65102167413255</v>
      </c>
      <c r="M18" s="103">
        <v>40.927183509760837</v>
      </c>
      <c r="N18" s="104">
        <v>641.81344364972369</v>
      </c>
      <c r="O18" s="103">
        <v>2.0318153021664926</v>
      </c>
      <c r="P18" s="105">
        <v>0.92524930183328991</v>
      </c>
      <c r="Q18" s="105">
        <v>1.502056989505653</v>
      </c>
      <c r="R18" s="103">
        <v>17.657300113818149</v>
      </c>
      <c r="S18" s="103">
        <v>19.668513870428598</v>
      </c>
      <c r="T18" s="106">
        <v>1396.4644848004305</v>
      </c>
      <c r="U18" s="104">
        <v>66.373869311232141</v>
      </c>
      <c r="V18" s="103">
        <v>11.808510638297866</v>
      </c>
      <c r="W18" s="103">
        <v>8.7967280564620562</v>
      </c>
      <c r="Y18" s="16"/>
    </row>
    <row r="19" spans="1:25">
      <c r="A19" s="100">
        <v>77</v>
      </c>
      <c r="B19" s="23">
        <v>40.6257813072204</v>
      </c>
      <c r="C19" s="24">
        <v>149.22000000000003</v>
      </c>
      <c r="D19" s="24">
        <v>197.84191348713151</v>
      </c>
      <c r="E19" s="23">
        <v>46.478679320760577</v>
      </c>
      <c r="F19" s="24">
        <v>747.75724433263258</v>
      </c>
      <c r="G19" s="24">
        <v>16.200000000000017</v>
      </c>
      <c r="H19" s="24">
        <v>188.04020258355285</v>
      </c>
      <c r="I19" s="23">
        <v>4.5583384872129358</v>
      </c>
      <c r="J19" s="24">
        <v>73.839621042561475</v>
      </c>
      <c r="K19" s="24">
        <v>133.02000000000001</v>
      </c>
      <c r="L19" s="24">
        <v>199.00265141318926</v>
      </c>
      <c r="M19" s="23">
        <v>41.920340833547641</v>
      </c>
      <c r="N19" s="24">
        <v>673.91762329007111</v>
      </c>
      <c r="O19" s="23">
        <v>2.0273318212731319</v>
      </c>
      <c r="P19" s="21">
        <v>0.88022776136020531</v>
      </c>
      <c r="Q19" s="21">
        <v>1.4571109359207937</v>
      </c>
      <c r="R19" s="23">
        <v>16.936130586249742</v>
      </c>
      <c r="S19" s="23">
        <v>19.51179591536804</v>
      </c>
      <c r="T19" s="89">
        <v>1502.4082854833391</v>
      </c>
      <c r="U19" s="24">
        <v>64.134651068598913</v>
      </c>
      <c r="V19" s="23">
        <v>10.856453558504231</v>
      </c>
      <c r="W19" s="23">
        <v>9.3170025081796997</v>
      </c>
      <c r="Y19" s="16"/>
    </row>
    <row r="20" spans="1:25">
      <c r="A20" s="107">
        <v>83</v>
      </c>
      <c r="B20" s="108">
        <v>41.8890417747497</v>
      </c>
      <c r="C20" s="109">
        <v>133.02000000000001</v>
      </c>
      <c r="D20" s="109">
        <v>211.16664234082805</v>
      </c>
      <c r="E20" s="108">
        <v>47.201707401708873</v>
      </c>
      <c r="F20" s="109">
        <v>775.53440680756955</v>
      </c>
      <c r="G20" s="109">
        <v>133.02000000000001</v>
      </c>
      <c r="H20" s="109">
        <v>211.16664234082805</v>
      </c>
      <c r="I20" s="108">
        <v>47.201707401708873</v>
      </c>
      <c r="J20" s="109">
        <v>775.53440680756955</v>
      </c>
      <c r="K20" s="109" t="s">
        <v>27</v>
      </c>
      <c r="L20" s="109" t="s">
        <v>27</v>
      </c>
      <c r="M20" s="108" t="s">
        <v>27</v>
      </c>
      <c r="N20" s="109" t="s">
        <v>27</v>
      </c>
      <c r="O20" s="108" t="s">
        <v>27</v>
      </c>
      <c r="P20" s="110" t="s">
        <v>27</v>
      </c>
      <c r="Q20" s="110">
        <v>1.4154085377597871</v>
      </c>
      <c r="R20" s="108" t="s">
        <v>27</v>
      </c>
      <c r="S20" s="108">
        <v>19.325603240973948</v>
      </c>
      <c r="T20" s="111">
        <v>1604.0250690008377</v>
      </c>
      <c r="U20" s="109">
        <v>62.319646913297397</v>
      </c>
      <c r="V20" s="112" t="s">
        <v>27</v>
      </c>
      <c r="W20" s="113" t="s">
        <v>27</v>
      </c>
    </row>
    <row r="22" spans="1:25">
      <c r="A22" s="12" t="s">
        <v>32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 spans="1:25" ht="15" customHeight="1">
      <c r="A23" s="187" t="s">
        <v>1</v>
      </c>
      <c r="B23" s="187" t="s">
        <v>2</v>
      </c>
      <c r="C23" s="189" t="s">
        <v>33</v>
      </c>
      <c r="D23" s="190"/>
      <c r="E23" s="190"/>
      <c r="F23" s="190"/>
      <c r="G23" s="190"/>
      <c r="H23" s="190"/>
      <c r="I23" s="190"/>
      <c r="J23" s="191"/>
      <c r="K23" s="189" t="s">
        <v>105</v>
      </c>
      <c r="L23" s="191"/>
      <c r="M23" s="189" t="s">
        <v>34</v>
      </c>
      <c r="N23" s="190"/>
      <c r="O23" s="190"/>
      <c r="P23" s="190"/>
      <c r="Q23" s="190"/>
      <c r="R23" s="190"/>
      <c r="S23" s="190"/>
      <c r="T23" s="191"/>
      <c r="U23" s="189" t="s">
        <v>106</v>
      </c>
      <c r="V23" s="191"/>
      <c r="W23" s="193" t="s">
        <v>113</v>
      </c>
    </row>
    <row r="24" spans="1:25">
      <c r="A24" s="188"/>
      <c r="B24" s="188"/>
      <c r="C24" s="96" t="s">
        <v>19</v>
      </c>
      <c r="D24" s="96" t="s">
        <v>20</v>
      </c>
      <c r="E24" s="96" t="s">
        <v>21</v>
      </c>
      <c r="F24" s="96" t="s">
        <v>22</v>
      </c>
      <c r="G24" s="96" t="s">
        <v>23</v>
      </c>
      <c r="H24" s="96" t="s">
        <v>24</v>
      </c>
      <c r="I24" s="96" t="s">
        <v>25</v>
      </c>
      <c r="J24" s="96" t="s">
        <v>26</v>
      </c>
      <c r="K24" s="131" t="s">
        <v>105</v>
      </c>
      <c r="L24" s="131" t="s">
        <v>107</v>
      </c>
      <c r="M24" s="96" t="s">
        <v>19</v>
      </c>
      <c r="N24" s="96" t="s">
        <v>20</v>
      </c>
      <c r="O24" s="96" t="s">
        <v>21</v>
      </c>
      <c r="P24" s="96" t="s">
        <v>22</v>
      </c>
      <c r="Q24" s="96" t="s">
        <v>23</v>
      </c>
      <c r="R24" s="96" t="s">
        <v>24</v>
      </c>
      <c r="S24" s="96" t="s">
        <v>25</v>
      </c>
      <c r="T24" s="96" t="s">
        <v>26</v>
      </c>
      <c r="U24" s="132" t="s">
        <v>106</v>
      </c>
      <c r="V24" s="132" t="s">
        <v>107</v>
      </c>
      <c r="W24" s="194"/>
    </row>
    <row r="25" spans="1:25" s="95" customFormat="1" ht="12">
      <c r="A25" s="92" t="s">
        <v>65</v>
      </c>
      <c r="B25" s="92" t="s">
        <v>66</v>
      </c>
      <c r="C25" s="92" t="s">
        <v>70</v>
      </c>
      <c r="D25" s="92" t="s">
        <v>70</v>
      </c>
      <c r="E25" s="92" t="s">
        <v>70</v>
      </c>
      <c r="F25" s="92" t="s">
        <v>70</v>
      </c>
      <c r="G25" s="92" t="s">
        <v>70</v>
      </c>
      <c r="H25" s="92" t="s">
        <v>70</v>
      </c>
      <c r="I25" s="92" t="s">
        <v>70</v>
      </c>
      <c r="J25" s="92" t="s">
        <v>70</v>
      </c>
      <c r="K25" s="92" t="s">
        <v>75</v>
      </c>
      <c r="L25" s="92" t="s">
        <v>75</v>
      </c>
      <c r="M25" s="92" t="s">
        <v>70</v>
      </c>
      <c r="N25" s="92" t="s">
        <v>70</v>
      </c>
      <c r="O25" s="92" t="s">
        <v>70</v>
      </c>
      <c r="P25" s="92" t="s">
        <v>70</v>
      </c>
      <c r="Q25" s="92" t="s">
        <v>70</v>
      </c>
      <c r="R25" s="92" t="s">
        <v>70</v>
      </c>
      <c r="S25" s="92" t="s">
        <v>70</v>
      </c>
      <c r="T25" s="92" t="s">
        <v>70</v>
      </c>
      <c r="U25" s="92" t="s">
        <v>75</v>
      </c>
      <c r="V25" s="92" t="s">
        <v>75</v>
      </c>
      <c r="W25" s="92" t="s">
        <v>75</v>
      </c>
    </row>
    <row r="26" spans="1:25">
      <c r="A26" s="87">
        <v>17</v>
      </c>
      <c r="B26" s="23">
        <v>12.9240234222412</v>
      </c>
      <c r="C26" s="24">
        <v>37.291864582433263</v>
      </c>
      <c r="D26" s="24">
        <v>98.226724066258583</v>
      </c>
      <c r="E26" s="24">
        <v>13.72906693181424</v>
      </c>
      <c r="F26" s="24">
        <v>0</v>
      </c>
      <c r="G26" s="24">
        <v>0</v>
      </c>
      <c r="H26" s="24">
        <v>0</v>
      </c>
      <c r="I26" s="24">
        <v>0</v>
      </c>
      <c r="J26" s="24">
        <v>0</v>
      </c>
      <c r="K26" s="88">
        <v>4283.9260675313117</v>
      </c>
      <c r="L26" s="88">
        <v>3059.4196177984963</v>
      </c>
      <c r="M26" s="25">
        <v>13.40254132547428</v>
      </c>
      <c r="N26" s="25">
        <v>24.055293024439099</v>
      </c>
      <c r="O26" s="25">
        <v>3.33789245017176</v>
      </c>
      <c r="P26" s="25">
        <v>0</v>
      </c>
      <c r="Q26" s="25">
        <v>0</v>
      </c>
      <c r="R26" s="25">
        <v>0</v>
      </c>
      <c r="S26" s="25">
        <v>0</v>
      </c>
      <c r="T26" s="25">
        <v>0</v>
      </c>
      <c r="U26" s="88">
        <v>761.451208217351</v>
      </c>
      <c r="V26" s="88">
        <v>543.79994605252466</v>
      </c>
      <c r="W26" s="89">
        <v>3059.4196177984963</v>
      </c>
    </row>
    <row r="27" spans="1:25">
      <c r="A27" s="114">
        <v>23</v>
      </c>
      <c r="B27" s="103">
        <v>17.553035156250001</v>
      </c>
      <c r="C27" s="104">
        <v>6.0035090685205956</v>
      </c>
      <c r="D27" s="104">
        <v>99.472472699906803</v>
      </c>
      <c r="E27" s="104">
        <v>78.059408645394967</v>
      </c>
      <c r="F27" s="104">
        <v>76.010976505180381</v>
      </c>
      <c r="G27" s="104">
        <v>0</v>
      </c>
      <c r="H27" s="104">
        <v>0</v>
      </c>
      <c r="I27" s="104">
        <v>0</v>
      </c>
      <c r="J27" s="104">
        <v>0</v>
      </c>
      <c r="K27" s="115">
        <v>10531.591037685073</v>
      </c>
      <c r="L27" s="115">
        <v>6678.6707793192272</v>
      </c>
      <c r="M27" s="116">
        <v>5.2134810875563913</v>
      </c>
      <c r="N27" s="116">
        <v>34.655984625953884</v>
      </c>
      <c r="O27" s="116">
        <v>8.7034183950228989</v>
      </c>
      <c r="P27" s="116">
        <v>8.3832056431916726</v>
      </c>
      <c r="Q27" s="116">
        <v>0</v>
      </c>
      <c r="R27" s="116">
        <v>0</v>
      </c>
      <c r="S27" s="116">
        <v>0</v>
      </c>
      <c r="T27" s="116">
        <v>0</v>
      </c>
      <c r="U27" s="115">
        <v>1559.1576753352133</v>
      </c>
      <c r="V27" s="115">
        <v>988.74906643749273</v>
      </c>
      <c r="W27" s="106">
        <v>7222.4707253717515</v>
      </c>
    </row>
    <row r="28" spans="1:25">
      <c r="A28" s="87">
        <v>29</v>
      </c>
      <c r="B28" s="23">
        <v>21.760604995727501</v>
      </c>
      <c r="C28" s="24">
        <v>7.1359809846772065E-2</v>
      </c>
      <c r="D28" s="24">
        <v>21.623360628539523</v>
      </c>
      <c r="E28" s="24">
        <v>60.579681281566337</v>
      </c>
      <c r="F28" s="24">
        <v>202.89444203949461</v>
      </c>
      <c r="G28" s="24">
        <v>77.670878464170585</v>
      </c>
      <c r="H28" s="24">
        <v>0</v>
      </c>
      <c r="I28" s="24">
        <v>0</v>
      </c>
      <c r="J28" s="24">
        <v>0</v>
      </c>
      <c r="K28" s="88">
        <v>18656.726805294416</v>
      </c>
      <c r="L28" s="88">
        <v>10505.832467911328</v>
      </c>
      <c r="M28" s="25">
        <v>7.1359809846772065E-2</v>
      </c>
      <c r="N28" s="25">
        <v>16.427350590241979</v>
      </c>
      <c r="O28" s="25">
        <v>24.9518102321389</v>
      </c>
      <c r="P28" s="25">
        <v>24.766471742307971</v>
      </c>
      <c r="Q28" s="25">
        <v>7.2002537433640104</v>
      </c>
      <c r="R28" s="25">
        <v>0</v>
      </c>
      <c r="S28" s="25">
        <v>0</v>
      </c>
      <c r="T28" s="25">
        <v>0</v>
      </c>
      <c r="U28" s="88">
        <v>2895.8534359425767</v>
      </c>
      <c r="V28" s="88">
        <v>1630.6907083510782</v>
      </c>
      <c r="W28" s="89">
        <v>12038.381480401345</v>
      </c>
    </row>
    <row r="29" spans="1:25">
      <c r="A29" s="114">
        <v>35</v>
      </c>
      <c r="B29" s="103">
        <v>25.4596324634552</v>
      </c>
      <c r="C29" s="104">
        <v>0</v>
      </c>
      <c r="D29" s="104">
        <v>0</v>
      </c>
      <c r="E29" s="104">
        <v>8.2541945503036445</v>
      </c>
      <c r="F29" s="104">
        <v>148.69793185222326</v>
      </c>
      <c r="G29" s="104">
        <v>289.36475059269713</v>
      </c>
      <c r="H29" s="104">
        <v>1.2301752902962231</v>
      </c>
      <c r="I29" s="104">
        <v>0</v>
      </c>
      <c r="J29" s="104">
        <v>0</v>
      </c>
      <c r="K29" s="115">
        <v>26963.974970111467</v>
      </c>
      <c r="L29" s="115">
        <v>13482.732050984667</v>
      </c>
      <c r="M29" s="116">
        <v>0</v>
      </c>
      <c r="N29" s="116">
        <v>0</v>
      </c>
      <c r="O29" s="116">
        <v>7.323363301221109</v>
      </c>
      <c r="P29" s="116">
        <v>53.758862412805861</v>
      </c>
      <c r="Q29" s="116">
        <v>20.221238866610015</v>
      </c>
      <c r="R29" s="116">
        <v>0</v>
      </c>
      <c r="S29" s="116">
        <v>0</v>
      </c>
      <c r="T29" s="116">
        <v>0</v>
      </c>
      <c r="U29" s="115">
        <v>4021.2946823507614</v>
      </c>
      <c r="V29" s="115">
        <v>2010.7583826302848</v>
      </c>
      <c r="W29" s="106">
        <v>16645.971771825763</v>
      </c>
    </row>
    <row r="30" spans="1:25">
      <c r="A30" s="87">
        <v>41</v>
      </c>
      <c r="B30" s="23">
        <v>28.6798092346191</v>
      </c>
      <c r="C30" s="24">
        <v>0</v>
      </c>
      <c r="D30" s="24">
        <v>0</v>
      </c>
      <c r="E30" s="24">
        <v>0</v>
      </c>
      <c r="F30" s="24">
        <v>20.086836224802305</v>
      </c>
      <c r="G30" s="24">
        <v>370.55448059070375</v>
      </c>
      <c r="H30" s="24">
        <v>126.44626879763028</v>
      </c>
      <c r="I30" s="24">
        <v>0</v>
      </c>
      <c r="J30" s="24">
        <v>0</v>
      </c>
      <c r="K30" s="88">
        <v>34718.981915679346</v>
      </c>
      <c r="L30" s="88">
        <v>15415.582484902681</v>
      </c>
      <c r="M30" s="25">
        <v>0</v>
      </c>
      <c r="N30" s="25">
        <v>0</v>
      </c>
      <c r="O30" s="25">
        <v>0</v>
      </c>
      <c r="P30" s="25">
        <v>15.300734143660941</v>
      </c>
      <c r="Q30" s="25">
        <v>68.147519600816551</v>
      </c>
      <c r="R30" s="25">
        <v>8.7124644778286005</v>
      </c>
      <c r="S30" s="25">
        <v>0</v>
      </c>
      <c r="T30" s="25">
        <v>0</v>
      </c>
      <c r="U30" s="88">
        <v>5398.2036029587307</v>
      </c>
      <c r="V30" s="88">
        <v>2396.857520586685</v>
      </c>
      <c r="W30" s="89">
        <v>20589.580588374061</v>
      </c>
    </row>
    <row r="31" spans="1:25">
      <c r="A31" s="114">
        <v>47</v>
      </c>
      <c r="B31" s="103">
        <v>31.434827068328801</v>
      </c>
      <c r="C31" s="104">
        <v>0</v>
      </c>
      <c r="D31" s="104">
        <v>0</v>
      </c>
      <c r="E31" s="104">
        <v>0</v>
      </c>
      <c r="F31" s="104">
        <v>0</v>
      </c>
      <c r="G31" s="104">
        <v>194.33367273598301</v>
      </c>
      <c r="H31" s="104">
        <v>370.87491506541181</v>
      </c>
      <c r="I31" s="104">
        <v>0.6716465686020141</v>
      </c>
      <c r="J31" s="104">
        <v>0</v>
      </c>
      <c r="K31" s="115">
        <v>40816.685864274375</v>
      </c>
      <c r="L31" s="115">
        <v>16092.727826391438</v>
      </c>
      <c r="M31" s="116">
        <v>0</v>
      </c>
      <c r="N31" s="116">
        <v>0</v>
      </c>
      <c r="O31" s="116">
        <v>0</v>
      </c>
      <c r="P31" s="116">
        <v>0</v>
      </c>
      <c r="Q31" s="116">
        <v>68.437769581999007</v>
      </c>
      <c r="R31" s="116">
        <v>19.349311362286194</v>
      </c>
      <c r="S31" s="116">
        <v>0</v>
      </c>
      <c r="T31" s="116">
        <v>0</v>
      </c>
      <c r="U31" s="115">
        <v>5635.5206854020371</v>
      </c>
      <c r="V31" s="115">
        <v>2221.907502528346</v>
      </c>
      <c r="W31" s="106">
        <v>23663.583450449503</v>
      </c>
    </row>
    <row r="32" spans="1:25">
      <c r="A32" s="87">
        <v>53</v>
      </c>
      <c r="B32" s="23">
        <v>33.818500507354699</v>
      </c>
      <c r="C32" s="24">
        <v>0</v>
      </c>
      <c r="D32" s="24">
        <v>0</v>
      </c>
      <c r="E32" s="24">
        <v>0</v>
      </c>
      <c r="F32" s="24">
        <v>0</v>
      </c>
      <c r="G32" s="24">
        <v>16.527869409574677</v>
      </c>
      <c r="H32" s="24">
        <v>457.28000482831612</v>
      </c>
      <c r="I32" s="24">
        <v>135.97430832764536</v>
      </c>
      <c r="J32" s="24">
        <v>0</v>
      </c>
      <c r="K32" s="88">
        <v>46003.032002445376</v>
      </c>
      <c r="L32" s="88">
        <v>16105.616477907619</v>
      </c>
      <c r="M32" s="25">
        <v>0</v>
      </c>
      <c r="N32" s="25">
        <v>0</v>
      </c>
      <c r="O32" s="25">
        <v>0</v>
      </c>
      <c r="P32" s="25">
        <v>0</v>
      </c>
      <c r="Q32" s="25">
        <v>11.688044452107869</v>
      </c>
      <c r="R32" s="25">
        <v>64.330735096831106</v>
      </c>
      <c r="S32" s="25">
        <v>8.40020992044915</v>
      </c>
      <c r="T32" s="25">
        <v>0</v>
      </c>
      <c r="U32" s="88">
        <v>5772.6178798012879</v>
      </c>
      <c r="V32" s="88">
        <v>2020.9878696832345</v>
      </c>
      <c r="W32" s="89">
        <v>25898.379604494032</v>
      </c>
    </row>
    <row r="33" spans="1:25">
      <c r="A33" s="114">
        <v>59</v>
      </c>
      <c r="B33" s="103">
        <v>35.865319549560503</v>
      </c>
      <c r="C33" s="104">
        <v>0</v>
      </c>
      <c r="D33" s="104">
        <v>0</v>
      </c>
      <c r="E33" s="104">
        <v>0</v>
      </c>
      <c r="F33" s="104">
        <v>0</v>
      </c>
      <c r="G33" s="104">
        <v>0</v>
      </c>
      <c r="H33" s="104">
        <v>247.11270292510301</v>
      </c>
      <c r="I33" s="104">
        <v>401.90131799061118</v>
      </c>
      <c r="J33" s="104">
        <v>0</v>
      </c>
      <c r="K33" s="115">
        <v>50083.370879426882</v>
      </c>
      <c r="L33" s="115">
        <v>15569.813754312769</v>
      </c>
      <c r="M33" s="116">
        <v>0</v>
      </c>
      <c r="N33" s="116">
        <v>0</v>
      </c>
      <c r="O33" s="116">
        <v>0</v>
      </c>
      <c r="P33" s="116">
        <v>0</v>
      </c>
      <c r="Q33" s="116">
        <v>0</v>
      </c>
      <c r="R33" s="116">
        <v>65.414339145876724</v>
      </c>
      <c r="S33" s="116">
        <v>15.610068585573238</v>
      </c>
      <c r="T33" s="116">
        <v>0</v>
      </c>
      <c r="U33" s="115">
        <v>5711.1961027994921</v>
      </c>
      <c r="V33" s="115">
        <v>1775.484718251508</v>
      </c>
      <c r="W33" s="106">
        <v>27383.564750582416</v>
      </c>
    </row>
    <row r="34" spans="1:25">
      <c r="A34" s="87">
        <v>65</v>
      </c>
      <c r="B34" s="23">
        <v>37.658007293701097</v>
      </c>
      <c r="C34" s="24">
        <v>0</v>
      </c>
      <c r="D34" s="24">
        <v>0</v>
      </c>
      <c r="E34" s="24">
        <v>0</v>
      </c>
      <c r="F34" s="24">
        <v>0</v>
      </c>
      <c r="G34" s="24">
        <v>0</v>
      </c>
      <c r="H34" s="24">
        <v>25.400514867035554</v>
      </c>
      <c r="I34" s="24">
        <v>548.48241357928941</v>
      </c>
      <c r="J34" s="24">
        <v>110.80747321200847</v>
      </c>
      <c r="K34" s="88">
        <v>53091.456055796356</v>
      </c>
      <c r="L34" s="88">
        <v>14655.933025371658</v>
      </c>
      <c r="M34" s="25">
        <v>0</v>
      </c>
      <c r="N34" s="25">
        <v>0</v>
      </c>
      <c r="O34" s="25">
        <v>0</v>
      </c>
      <c r="P34" s="25">
        <v>0</v>
      </c>
      <c r="Q34" s="25">
        <v>0</v>
      </c>
      <c r="R34" s="25">
        <v>18.708766597571824</v>
      </c>
      <c r="S34" s="25">
        <v>54.540889702886069</v>
      </c>
      <c r="T34" s="25">
        <v>5.0868296501412686</v>
      </c>
      <c r="U34" s="88">
        <v>5542.9717649539771</v>
      </c>
      <c r="V34" s="88">
        <v>1530.1411749437673</v>
      </c>
      <c r="W34" s="89">
        <v>28245.168739892812</v>
      </c>
    </row>
    <row r="35" spans="1:25">
      <c r="A35" s="114">
        <v>71</v>
      </c>
      <c r="B35" s="103">
        <v>39.223343090057298</v>
      </c>
      <c r="C35" s="104">
        <v>0</v>
      </c>
      <c r="D35" s="104">
        <v>0</v>
      </c>
      <c r="E35" s="104">
        <v>0</v>
      </c>
      <c r="F35" s="104">
        <v>0</v>
      </c>
      <c r="G35" s="104">
        <v>0</v>
      </c>
      <c r="H35" s="104">
        <v>0</v>
      </c>
      <c r="I35" s="104">
        <v>352.02341805653407</v>
      </c>
      <c r="J35" s="104">
        <v>365.0677187394943</v>
      </c>
      <c r="K35" s="115">
        <v>55053.964397844822</v>
      </c>
      <c r="L35" s="115">
        <v>13495.109182685666</v>
      </c>
      <c r="M35" s="116">
        <v>0</v>
      </c>
      <c r="N35" s="116">
        <v>0</v>
      </c>
      <c r="O35" s="116">
        <v>0</v>
      </c>
      <c r="P35" s="116">
        <v>0</v>
      </c>
      <c r="Q35" s="116">
        <v>0</v>
      </c>
      <c r="R35" s="116">
        <v>0</v>
      </c>
      <c r="S35" s="116">
        <v>64.004162016358578</v>
      </c>
      <c r="T35" s="116">
        <v>11.27353112994612</v>
      </c>
      <c r="U35" s="115">
        <v>5274.243334553501</v>
      </c>
      <c r="V35" s="115">
        <v>1292.8494874864623</v>
      </c>
      <c r="W35" s="106">
        <v>28614.486072150587</v>
      </c>
    </row>
    <row r="36" spans="1:25">
      <c r="A36" s="87">
        <v>77</v>
      </c>
      <c r="B36" s="23">
        <v>40.6257813072204</v>
      </c>
      <c r="C36" s="24">
        <v>0</v>
      </c>
      <c r="D36" s="24">
        <v>0</v>
      </c>
      <c r="E36" s="24">
        <v>0</v>
      </c>
      <c r="F36" s="24">
        <v>0</v>
      </c>
      <c r="G36" s="24">
        <v>0</v>
      </c>
      <c r="H36" s="24">
        <v>0</v>
      </c>
      <c r="I36" s="24">
        <v>47.695821678856099</v>
      </c>
      <c r="J36" s="24">
        <v>699.751242373845</v>
      </c>
      <c r="K36" s="88">
        <v>56066.8570965037</v>
      </c>
      <c r="L36" s="88">
        <v>12203.74111556038</v>
      </c>
      <c r="M36" s="25">
        <v>0</v>
      </c>
      <c r="N36" s="25">
        <v>0</v>
      </c>
      <c r="O36" s="25">
        <v>0</v>
      </c>
      <c r="P36" s="25">
        <v>0</v>
      </c>
      <c r="Q36" s="25">
        <v>0</v>
      </c>
      <c r="R36" s="25">
        <v>0</v>
      </c>
      <c r="S36" s="25">
        <v>21.757470376870454</v>
      </c>
      <c r="T36" s="25">
        <v>51.771970385759921</v>
      </c>
      <c r="U36" s="88">
        <v>5010.5719154721282</v>
      </c>
      <c r="V36" s="88">
        <v>1090.6215483430849</v>
      </c>
      <c r="W36" s="89">
        <v>28615.967492511762</v>
      </c>
    </row>
    <row r="37" spans="1:25">
      <c r="A37" s="114">
        <v>83</v>
      </c>
      <c r="B37" s="108">
        <v>41.8890417747497</v>
      </c>
      <c r="C37" s="109">
        <v>0</v>
      </c>
      <c r="D37" s="109">
        <v>0</v>
      </c>
      <c r="E37" s="109">
        <v>0</v>
      </c>
      <c r="F37" s="109">
        <v>0</v>
      </c>
      <c r="G37" s="109">
        <v>0</v>
      </c>
      <c r="H37" s="109">
        <v>0</v>
      </c>
      <c r="I37" s="109">
        <v>0</v>
      </c>
      <c r="J37" s="109">
        <v>775.53440680757137</v>
      </c>
      <c r="K37" s="117">
        <v>56193.579292743634</v>
      </c>
      <c r="L37" s="117">
        <v>10861.065666152223</v>
      </c>
      <c r="M37" s="118">
        <v>0</v>
      </c>
      <c r="N37" s="118">
        <v>0</v>
      </c>
      <c r="O37" s="118">
        <v>0</v>
      </c>
      <c r="P37" s="118">
        <v>0</v>
      </c>
      <c r="Q37" s="118">
        <v>0</v>
      </c>
      <c r="R37" s="118">
        <v>0</v>
      </c>
      <c r="S37" s="118">
        <v>0</v>
      </c>
      <c r="T37" s="118">
        <v>775.53440680757137</v>
      </c>
      <c r="U37" s="117">
        <v>56193.579292743634</v>
      </c>
      <c r="V37" s="117">
        <v>10861.065666152223</v>
      </c>
      <c r="W37" s="111">
        <v>28363.91359144669</v>
      </c>
    </row>
    <row r="38" spans="1:25" s="10" customFormat="1">
      <c r="A38" s="26" t="s">
        <v>13</v>
      </c>
      <c r="B38" s="27" t="s">
        <v>27</v>
      </c>
      <c r="C38" s="27" t="s">
        <v>27</v>
      </c>
      <c r="D38" s="27" t="s">
        <v>27</v>
      </c>
      <c r="E38" s="27" t="s">
        <v>27</v>
      </c>
      <c r="F38" s="27" t="s">
        <v>27</v>
      </c>
      <c r="G38" s="27" t="s">
        <v>27</v>
      </c>
      <c r="H38" s="27" t="s">
        <v>27</v>
      </c>
      <c r="I38" s="27" t="s">
        <v>27</v>
      </c>
      <c r="J38" s="27" t="s">
        <v>27</v>
      </c>
      <c r="K38" s="27" t="s">
        <v>27</v>
      </c>
      <c r="L38" s="27" t="s">
        <v>27</v>
      </c>
      <c r="M38" s="26">
        <v>18.687382222877442</v>
      </c>
      <c r="N38" s="26">
        <v>75.138628240634972</v>
      </c>
      <c r="O38" s="26">
        <v>44.316484378554662</v>
      </c>
      <c r="P38" s="26">
        <v>102.20927394196644</v>
      </c>
      <c r="Q38" s="26">
        <v>175.69482624489746</v>
      </c>
      <c r="R38" s="26">
        <v>176.51561668039443</v>
      </c>
      <c r="S38" s="26">
        <v>164.31280060213749</v>
      </c>
      <c r="T38" s="26">
        <v>843.66673797341866</v>
      </c>
      <c r="U38" s="27" t="s">
        <v>27</v>
      </c>
      <c r="V38" s="90">
        <v>28363.91359144669</v>
      </c>
      <c r="W38" s="28" t="s">
        <v>27</v>
      </c>
    </row>
    <row r="39" spans="1:25">
      <c r="A39" s="17"/>
      <c r="V39" s="9"/>
    </row>
    <row r="40" spans="1:25">
      <c r="H40" s="15"/>
      <c r="I40" s="15"/>
      <c r="J40" s="15"/>
      <c r="W40" s="15" t="s">
        <v>77</v>
      </c>
    </row>
    <row r="41" spans="1:25">
      <c r="V41" s="9"/>
      <c r="W41" s="15" t="s">
        <v>78</v>
      </c>
      <c r="X41" s="9"/>
      <c r="Y41" s="9"/>
    </row>
    <row r="42" spans="1:25">
      <c r="A42" s="8"/>
      <c r="B42" s="8"/>
      <c r="C42" s="8"/>
      <c r="D42" s="8"/>
      <c r="E42" s="8"/>
      <c r="F42" s="8"/>
      <c r="G42" s="8"/>
      <c r="H42" s="8"/>
      <c r="I42" s="8"/>
      <c r="J42" s="8"/>
      <c r="V42" s="9"/>
      <c r="W42" s="15"/>
      <c r="X42" s="9"/>
      <c r="Y42" s="15"/>
    </row>
    <row r="43" spans="1:25">
      <c r="V43" s="9"/>
      <c r="W43" s="9"/>
      <c r="X43" s="9"/>
      <c r="Y43" s="9"/>
    </row>
    <row r="44" spans="1:25"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spans="1:25">
      <c r="V45" s="9"/>
      <c r="W45" s="9"/>
      <c r="X45" s="9"/>
      <c r="Y45" s="9"/>
    </row>
    <row r="46" spans="1:25">
      <c r="V46" s="9"/>
      <c r="W46" s="9"/>
      <c r="X46" s="9"/>
      <c r="Y46" s="9"/>
    </row>
  </sheetData>
  <mergeCells count="17">
    <mergeCell ref="D1:T1"/>
    <mergeCell ref="U6:U7"/>
    <mergeCell ref="V6:V7"/>
    <mergeCell ref="W6:W7"/>
    <mergeCell ref="W23:W24"/>
    <mergeCell ref="O6:T6"/>
    <mergeCell ref="C6:F6"/>
    <mergeCell ref="G6:J6"/>
    <mergeCell ref="K6:N6"/>
    <mergeCell ref="K23:L23"/>
    <mergeCell ref="U23:V23"/>
    <mergeCell ref="M23:T23"/>
    <mergeCell ref="A6:A7"/>
    <mergeCell ref="B6:B7"/>
    <mergeCell ref="A23:A24"/>
    <mergeCell ref="B23:B24"/>
    <mergeCell ref="C23:J23"/>
  </mergeCells>
  <pageMargins left="0.70866141732283472" right="0.70866141732283472" top="0.74803149606299213" bottom="0.74803149606299213" header="0.31496062992125984" footer="0.31496062992125984"/>
  <pageSetup paperSize="9" scale="7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46"/>
  <sheetViews>
    <sheetView workbookViewId="0">
      <selection activeCell="W23" sqref="W23:W24"/>
    </sheetView>
  </sheetViews>
  <sheetFormatPr baseColWidth="10" defaultRowHeight="15"/>
  <cols>
    <col min="1" max="21" width="6.7109375" style="9" customWidth="1"/>
    <col min="22" max="23" width="6.7109375" style="17" customWidth="1"/>
    <col min="24" max="16384" width="11.42578125" style="17"/>
  </cols>
  <sheetData>
    <row r="1" spans="1:27" ht="30.75" customHeight="1">
      <c r="D1" s="151" t="s">
        <v>56</v>
      </c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</row>
    <row r="2" spans="1:27">
      <c r="A2" s="12"/>
      <c r="B2" s="14"/>
      <c r="C2" s="13"/>
      <c r="D2" s="13"/>
      <c r="E2" s="13"/>
      <c r="F2" s="13"/>
      <c r="G2" s="13"/>
      <c r="H2" s="13"/>
      <c r="I2" s="13"/>
      <c r="J2" s="13"/>
      <c r="K2" s="14"/>
      <c r="L2" s="13"/>
      <c r="M2" s="13"/>
      <c r="U2" s="15"/>
      <c r="V2" s="15"/>
      <c r="W2" s="15"/>
    </row>
    <row r="3" spans="1:27">
      <c r="A3" s="12" t="s">
        <v>85</v>
      </c>
      <c r="B3" s="12"/>
      <c r="C3" s="12"/>
      <c r="D3" s="14"/>
      <c r="E3" s="14" t="s">
        <v>80</v>
      </c>
      <c r="F3" s="14"/>
      <c r="G3" s="13"/>
      <c r="H3" s="13"/>
      <c r="I3" s="14"/>
      <c r="J3" s="13"/>
      <c r="K3" s="14" t="s">
        <v>81</v>
      </c>
      <c r="L3" s="14"/>
      <c r="M3" s="14"/>
      <c r="N3" s="13"/>
      <c r="R3" s="14" t="s">
        <v>83</v>
      </c>
      <c r="V3" s="9"/>
      <c r="W3" s="9"/>
    </row>
    <row r="4" spans="1:27">
      <c r="A4" s="13"/>
      <c r="B4" s="14"/>
      <c r="C4" s="13"/>
      <c r="D4" s="14"/>
      <c r="E4" s="14" t="s">
        <v>28</v>
      </c>
      <c r="F4" s="14"/>
      <c r="G4" s="13"/>
      <c r="H4" s="13"/>
      <c r="I4" s="14"/>
      <c r="J4" s="13"/>
      <c r="K4" s="14" t="s">
        <v>82</v>
      </c>
      <c r="L4" s="13"/>
      <c r="M4" s="13"/>
      <c r="N4" s="13"/>
      <c r="O4" s="8"/>
      <c r="P4" s="8"/>
      <c r="Q4" s="8"/>
      <c r="R4" s="14" t="s">
        <v>84</v>
      </c>
      <c r="S4" s="8"/>
      <c r="T4" s="8"/>
      <c r="U4" s="8"/>
      <c r="V4" s="8"/>
      <c r="W4" s="13"/>
    </row>
    <row r="5" spans="1:27">
      <c r="A5" s="12" t="s">
        <v>0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7">
      <c r="A6" s="185" t="s">
        <v>1</v>
      </c>
      <c r="B6" s="185" t="s">
        <v>2</v>
      </c>
      <c r="C6" s="198" t="s">
        <v>109</v>
      </c>
      <c r="D6" s="199"/>
      <c r="E6" s="199"/>
      <c r="F6" s="199"/>
      <c r="G6" s="199" t="s">
        <v>110</v>
      </c>
      <c r="H6" s="199"/>
      <c r="I6" s="199"/>
      <c r="J6" s="199"/>
      <c r="K6" s="199" t="s">
        <v>111</v>
      </c>
      <c r="L6" s="199"/>
      <c r="M6" s="199"/>
      <c r="N6" s="199"/>
      <c r="O6" s="195" t="s">
        <v>3</v>
      </c>
      <c r="P6" s="196"/>
      <c r="Q6" s="196"/>
      <c r="R6" s="196"/>
      <c r="S6" s="196"/>
      <c r="T6" s="197"/>
      <c r="U6" s="187" t="s">
        <v>14</v>
      </c>
      <c r="V6" s="193" t="s">
        <v>64</v>
      </c>
      <c r="W6" s="187" t="s">
        <v>31</v>
      </c>
    </row>
    <row r="7" spans="1:27">
      <c r="A7" s="186"/>
      <c r="B7" s="186"/>
      <c r="C7" s="101" t="s">
        <v>4</v>
      </c>
      <c r="D7" s="101" t="s">
        <v>5</v>
      </c>
      <c r="E7" s="101" t="s">
        <v>6</v>
      </c>
      <c r="F7" s="101" t="s">
        <v>7</v>
      </c>
      <c r="G7" s="101" t="s">
        <v>4</v>
      </c>
      <c r="H7" s="101" t="s">
        <v>5</v>
      </c>
      <c r="I7" s="101" t="s">
        <v>6</v>
      </c>
      <c r="J7" s="101" t="s">
        <v>7</v>
      </c>
      <c r="K7" s="101" t="s">
        <v>4</v>
      </c>
      <c r="L7" s="101" t="s">
        <v>5</v>
      </c>
      <c r="M7" s="101" t="s">
        <v>6</v>
      </c>
      <c r="N7" s="101" t="s">
        <v>7</v>
      </c>
      <c r="O7" s="99" t="s">
        <v>15</v>
      </c>
      <c r="P7" s="101" t="s">
        <v>8</v>
      </c>
      <c r="Q7" s="101" t="s">
        <v>9</v>
      </c>
      <c r="R7" s="101" t="s">
        <v>10</v>
      </c>
      <c r="S7" s="101" t="s">
        <v>11</v>
      </c>
      <c r="T7" s="101" t="s">
        <v>12</v>
      </c>
      <c r="U7" s="192"/>
      <c r="V7" s="194"/>
      <c r="W7" s="188"/>
    </row>
    <row r="8" spans="1:27" s="95" customFormat="1" ht="12" customHeight="1">
      <c r="A8" s="92" t="s">
        <v>65</v>
      </c>
      <c r="B8" s="92" t="s">
        <v>66</v>
      </c>
      <c r="C8" s="92" t="s">
        <v>67</v>
      </c>
      <c r="D8" s="92" t="s">
        <v>68</v>
      </c>
      <c r="E8" s="92" t="s">
        <v>69</v>
      </c>
      <c r="F8" s="92" t="s">
        <v>70</v>
      </c>
      <c r="G8" s="92" t="s">
        <v>67</v>
      </c>
      <c r="H8" s="92" t="s">
        <v>68</v>
      </c>
      <c r="I8" s="92" t="s">
        <v>69</v>
      </c>
      <c r="J8" s="92" t="s">
        <v>70</v>
      </c>
      <c r="K8" s="92" t="s">
        <v>67</v>
      </c>
      <c r="L8" s="92" t="s">
        <v>68</v>
      </c>
      <c r="M8" s="92" t="s">
        <v>69</v>
      </c>
      <c r="N8" s="92" t="s">
        <v>70</v>
      </c>
      <c r="O8" s="92" t="s">
        <v>71</v>
      </c>
      <c r="P8" s="92" t="s">
        <v>72</v>
      </c>
      <c r="Q8" s="92" t="s">
        <v>72</v>
      </c>
      <c r="R8" s="92" t="s">
        <v>73</v>
      </c>
      <c r="S8" s="92" t="s">
        <v>73</v>
      </c>
      <c r="T8" s="92" t="s">
        <v>70</v>
      </c>
      <c r="U8" s="93"/>
      <c r="V8" s="94" t="s">
        <v>74</v>
      </c>
      <c r="W8" s="92" t="s">
        <v>66</v>
      </c>
    </row>
    <row r="9" spans="1:27">
      <c r="A9" s="22">
        <v>19</v>
      </c>
      <c r="B9" s="19">
        <v>13.055091427802999</v>
      </c>
      <c r="C9" s="18">
        <v>1708.7649999999999</v>
      </c>
      <c r="D9" s="18">
        <v>44.16698980733014</v>
      </c>
      <c r="E9" s="19">
        <v>26.525774783977187</v>
      </c>
      <c r="F9" s="18">
        <v>155.65576336943946</v>
      </c>
      <c r="G9" s="18">
        <v>557.8449999999998</v>
      </c>
      <c r="H9" s="18">
        <v>41.230158347252015</v>
      </c>
      <c r="I9" s="19">
        <v>7.5462933950750575</v>
      </c>
      <c r="J9" s="18">
        <v>42.87372478000475</v>
      </c>
      <c r="K9" s="18">
        <v>1150.92</v>
      </c>
      <c r="L9" s="18">
        <v>45.522335384000684</v>
      </c>
      <c r="M9" s="19">
        <v>18.97948138890213</v>
      </c>
      <c r="N9" s="18">
        <v>112.78203858943471</v>
      </c>
      <c r="O9" s="19">
        <v>2.2414104060898006</v>
      </c>
      <c r="P9" s="20">
        <v>2.1297257241251248</v>
      </c>
      <c r="Q9" s="20">
        <v>1.3960934096830098</v>
      </c>
      <c r="R9" s="19">
        <v>22.497598480023004</v>
      </c>
      <c r="S9" s="19">
        <v>8.19240859839155</v>
      </c>
      <c r="T9" s="91">
        <v>155.65576336943946</v>
      </c>
      <c r="U9" s="18">
        <v>90.095947353227686</v>
      </c>
      <c r="V9" s="19">
        <v>32.646092353249266</v>
      </c>
      <c r="W9" s="23">
        <v>3.1674671219132455</v>
      </c>
      <c r="Y9" s="16"/>
      <c r="Z9" s="16"/>
      <c r="AA9" s="16"/>
    </row>
    <row r="10" spans="1:27">
      <c r="A10" s="102">
        <v>25</v>
      </c>
      <c r="B10" s="103">
        <v>17.141176958084099</v>
      </c>
      <c r="C10" s="104">
        <v>1147.5899999999999</v>
      </c>
      <c r="D10" s="104">
        <v>58.970797820539488</v>
      </c>
      <c r="E10" s="103">
        <v>31.757835733652879</v>
      </c>
      <c r="F10" s="104">
        <v>247.76762946957274</v>
      </c>
      <c r="G10" s="104">
        <v>343.9799999999999</v>
      </c>
      <c r="H10" s="104">
        <v>50.071765909322593</v>
      </c>
      <c r="I10" s="103">
        <v>6.862923288123838</v>
      </c>
      <c r="J10" s="104">
        <v>50.615910398647827</v>
      </c>
      <c r="K10" s="104">
        <v>803.61</v>
      </c>
      <c r="L10" s="104">
        <v>62.393244145123852</v>
      </c>
      <c r="M10" s="103">
        <v>24.894912445529041</v>
      </c>
      <c r="N10" s="104">
        <v>197.15171907092491</v>
      </c>
      <c r="O10" s="103">
        <v>2.132537427405667</v>
      </c>
      <c r="P10" s="105">
        <v>1.8580392638853305</v>
      </c>
      <c r="Q10" s="105">
        <v>1.5721651651491175</v>
      </c>
      <c r="R10" s="103">
        <v>23.613989763718347</v>
      </c>
      <c r="S10" s="103">
        <v>11.6256541699831</v>
      </c>
      <c r="T10" s="106">
        <v>290.64135424957749</v>
      </c>
      <c r="U10" s="104">
        <v>86.308375759634501</v>
      </c>
      <c r="V10" s="103">
        <v>29.974119676888083</v>
      </c>
      <c r="W10" s="103">
        <v>3.7906354337782315</v>
      </c>
    </row>
    <row r="11" spans="1:27">
      <c r="A11" s="100">
        <v>31</v>
      </c>
      <c r="B11" s="23">
        <v>20.8328584403991</v>
      </c>
      <c r="C11" s="24">
        <v>801.18000000000006</v>
      </c>
      <c r="D11" s="24">
        <v>75.188468709557853</v>
      </c>
      <c r="E11" s="23">
        <v>36.043148028841024</v>
      </c>
      <c r="F11" s="24">
        <v>338.83565765323499</v>
      </c>
      <c r="G11" s="24">
        <v>204.21000000000004</v>
      </c>
      <c r="H11" s="24">
        <v>65.080810723486124</v>
      </c>
      <c r="I11" s="23">
        <v>6.882925202753043</v>
      </c>
      <c r="J11" s="24">
        <v>62.870764788390602</v>
      </c>
      <c r="K11" s="24">
        <v>596.97</v>
      </c>
      <c r="L11" s="24">
        <v>78.347311429729629</v>
      </c>
      <c r="M11" s="23">
        <v>29.160222826087981</v>
      </c>
      <c r="N11" s="24">
        <v>275.96489286484439</v>
      </c>
      <c r="O11" s="23">
        <v>2.0562263223248229</v>
      </c>
      <c r="P11" s="21">
        <v>1.6285568877033896</v>
      </c>
      <c r="Q11" s="21">
        <v>1.6274956358722557</v>
      </c>
      <c r="R11" s="23">
        <v>23.304678245440499</v>
      </c>
      <c r="S11" s="23">
        <v>13.945977188125406</v>
      </c>
      <c r="T11" s="89">
        <v>432.32529283188757</v>
      </c>
      <c r="U11" s="24">
        <v>83.536185014255551</v>
      </c>
      <c r="V11" s="23">
        <v>25.488654235003374</v>
      </c>
      <c r="W11" s="23">
        <v>4.3980324640959045</v>
      </c>
    </row>
    <row r="12" spans="1:27">
      <c r="A12" s="102">
        <v>37</v>
      </c>
      <c r="B12" s="103">
        <v>24.083262083053501</v>
      </c>
      <c r="C12" s="104">
        <v>594.9</v>
      </c>
      <c r="D12" s="104">
        <v>90.684669363678566</v>
      </c>
      <c r="E12" s="103">
        <v>38.931564152308319</v>
      </c>
      <c r="F12" s="104">
        <v>415.79296233748738</v>
      </c>
      <c r="G12" s="104">
        <v>131.94</v>
      </c>
      <c r="H12" s="104">
        <v>80.126619690077362</v>
      </c>
      <c r="I12" s="103">
        <v>6.7409368515008978</v>
      </c>
      <c r="J12" s="104">
        <v>71.042959891283374</v>
      </c>
      <c r="K12" s="104">
        <v>462.96</v>
      </c>
      <c r="L12" s="104">
        <v>93.475525916035295</v>
      </c>
      <c r="M12" s="103">
        <v>32.190627300807421</v>
      </c>
      <c r="N12" s="104">
        <v>344.75000244620401</v>
      </c>
      <c r="O12" s="103">
        <v>1.9981431901511613</v>
      </c>
      <c r="P12" s="105">
        <v>1.4445603887419491</v>
      </c>
      <c r="Q12" s="105">
        <v>1.6276677307637908</v>
      </c>
      <c r="R12" s="103">
        <v>22.345539640232101</v>
      </c>
      <c r="S12" s="103">
        <v>15.463604386608933</v>
      </c>
      <c r="T12" s="106">
        <v>572.15336230453056</v>
      </c>
      <c r="U12" s="104">
        <v>80.940758014627463</v>
      </c>
      <c r="V12" s="103">
        <v>22.178517397881997</v>
      </c>
      <c r="W12" s="103">
        <v>4.9941657217012603</v>
      </c>
    </row>
    <row r="13" spans="1:27">
      <c r="A13" s="100">
        <v>43</v>
      </c>
      <c r="B13" s="23">
        <v>26.902151565551701</v>
      </c>
      <c r="C13" s="24">
        <v>461.61</v>
      </c>
      <c r="D13" s="24">
        <v>105.46438505694226</v>
      </c>
      <c r="E13" s="23">
        <v>40.857989633259116</v>
      </c>
      <c r="F13" s="24">
        <v>478.8232402875966</v>
      </c>
      <c r="G13" s="24">
        <v>97.019999999999982</v>
      </c>
      <c r="H13" s="24">
        <v>95.197944886622949</v>
      </c>
      <c r="I13" s="23">
        <v>6.9969142633852783</v>
      </c>
      <c r="J13" s="24">
        <v>81.60450391451792</v>
      </c>
      <c r="K13" s="24">
        <v>364.59000000000003</v>
      </c>
      <c r="L13" s="24">
        <v>108.03212752254647</v>
      </c>
      <c r="M13" s="23">
        <v>33.861075369873838</v>
      </c>
      <c r="N13" s="24">
        <v>397.21873637307868</v>
      </c>
      <c r="O13" s="23">
        <v>1.9672079094034107</v>
      </c>
      <c r="P13" s="21">
        <v>1.2868381818934804</v>
      </c>
      <c r="Q13" s="21">
        <v>1.6021178690863247</v>
      </c>
      <c r="R13" s="23">
        <v>20.940734282715756</v>
      </c>
      <c r="S13" s="23">
        <v>16.423874421998214</v>
      </c>
      <c r="T13" s="89">
        <v>706.22660014592316</v>
      </c>
      <c r="U13" s="24">
        <v>78.231914581574671</v>
      </c>
      <c r="V13" s="23">
        <v>21.017742249951255</v>
      </c>
      <c r="W13" s="23">
        <v>5.6277177492214117</v>
      </c>
      <c r="Y13" s="16"/>
      <c r="AA13" s="16"/>
    </row>
    <row r="14" spans="1:27">
      <c r="A14" s="102">
        <v>49</v>
      </c>
      <c r="B14" s="103">
        <v>29.338227533340401</v>
      </c>
      <c r="C14" s="104">
        <v>363.87</v>
      </c>
      <c r="D14" s="104">
        <v>119.83537497896694</v>
      </c>
      <c r="E14" s="103">
        <v>41.582104461234721</v>
      </c>
      <c r="F14" s="104">
        <v>522.86314206937323</v>
      </c>
      <c r="G14" s="104">
        <v>65.519999999999982</v>
      </c>
      <c r="H14" s="104">
        <v>109.46512548259615</v>
      </c>
      <c r="I14" s="103">
        <v>6.2476340505597037</v>
      </c>
      <c r="J14" s="104">
        <v>78.456806838638101</v>
      </c>
      <c r="K14" s="104">
        <v>298.35000000000002</v>
      </c>
      <c r="L14" s="104">
        <v>121.99476764635024</v>
      </c>
      <c r="M14" s="103">
        <v>35.334470410675017</v>
      </c>
      <c r="N14" s="104">
        <v>444.40633523073512</v>
      </c>
      <c r="O14" s="103">
        <v>1.9366684819145779</v>
      </c>
      <c r="P14" s="105">
        <v>1.1646442777637549</v>
      </c>
      <c r="Q14" s="105">
        <v>1.5635121931035274</v>
      </c>
      <c r="R14" s="103">
        <v>19.645996276981339</v>
      </c>
      <c r="S14" s="103">
        <v>16.976959302902404</v>
      </c>
      <c r="T14" s="106">
        <v>831.87100584221776</v>
      </c>
      <c r="U14" s="104">
        <v>75.551404266185713</v>
      </c>
      <c r="V14" s="103">
        <v>18.006430868167197</v>
      </c>
      <c r="W14" s="103">
        <v>6.2211641842112693</v>
      </c>
      <c r="Y14" s="16"/>
    </row>
    <row r="15" spans="1:27">
      <c r="A15" s="100">
        <v>55</v>
      </c>
      <c r="B15" s="23">
        <v>31.457775308609001</v>
      </c>
      <c r="C15" s="24">
        <v>297.90000000000003</v>
      </c>
      <c r="D15" s="24">
        <v>133.61477853783771</v>
      </c>
      <c r="E15" s="23">
        <v>42.322336077257546</v>
      </c>
      <c r="F15" s="24">
        <v>562.28231289262317</v>
      </c>
      <c r="G15" s="24">
        <v>46.710000000000008</v>
      </c>
      <c r="H15" s="24">
        <v>123.62115012380303</v>
      </c>
      <c r="I15" s="23">
        <v>5.6804869026170977</v>
      </c>
      <c r="J15" s="24">
        <v>75.645773135187255</v>
      </c>
      <c r="K15" s="24">
        <v>251.19000000000003</v>
      </c>
      <c r="L15" s="24">
        <v>135.39182752818922</v>
      </c>
      <c r="M15" s="23">
        <v>36.641849174640448</v>
      </c>
      <c r="N15" s="24">
        <v>486.63653975743591</v>
      </c>
      <c r="O15" s="23">
        <v>1.9070139294259338</v>
      </c>
      <c r="P15" s="21">
        <v>1.0706811849100053</v>
      </c>
      <c r="Q15" s="21">
        <v>1.5199993296119156</v>
      </c>
      <c r="R15" s="23">
        <v>18.523446308965806</v>
      </c>
      <c r="S15" s="23">
        <v>17.268126972801923</v>
      </c>
      <c r="T15" s="89">
        <v>949.74698350410574</v>
      </c>
      <c r="U15" s="24">
        <v>72.993708418056528</v>
      </c>
      <c r="V15" s="23">
        <v>15.679758308157101</v>
      </c>
      <c r="W15" s="23">
        <v>6.7800595944720277</v>
      </c>
      <c r="Y15" s="16"/>
    </row>
    <row r="16" spans="1:27">
      <c r="A16" s="102">
        <v>61</v>
      </c>
      <c r="B16" s="103">
        <v>33.301141773223797</v>
      </c>
      <c r="C16" s="104">
        <v>251.01</v>
      </c>
      <c r="D16" s="104">
        <v>146.83391110474483</v>
      </c>
      <c r="E16" s="103">
        <v>43.065936284100481</v>
      </c>
      <c r="F16" s="104">
        <v>597.77721761123075</v>
      </c>
      <c r="G16" s="104">
        <v>35.28</v>
      </c>
      <c r="H16" s="104">
        <v>136.40518139888374</v>
      </c>
      <c r="I16" s="103">
        <v>5.2237267041096871</v>
      </c>
      <c r="J16" s="104">
        <v>72.754333817780775</v>
      </c>
      <c r="K16" s="104">
        <v>215.73</v>
      </c>
      <c r="L16" s="104">
        <v>148.46972481734056</v>
      </c>
      <c r="M16" s="103">
        <v>37.842209579990794</v>
      </c>
      <c r="N16" s="104">
        <v>525.02288379344998</v>
      </c>
      <c r="O16" s="103">
        <v>1.8851935161293862</v>
      </c>
      <c r="P16" s="105">
        <v>0.99760946875463929</v>
      </c>
      <c r="Q16" s="105">
        <v>1.4758041022641868</v>
      </c>
      <c r="R16" s="103">
        <v>17.579869165564503</v>
      </c>
      <c r="S16" s="103">
        <v>17.391601005867219</v>
      </c>
      <c r="T16" s="106">
        <v>1060.8876613579005</v>
      </c>
      <c r="U16" s="104">
        <v>70.46461659413886</v>
      </c>
      <c r="V16" s="103">
        <v>14.05521692362854</v>
      </c>
      <c r="W16" s="103">
        <v>7.3160962841769566</v>
      </c>
      <c r="Y16" s="16"/>
    </row>
    <row r="17" spans="1:25">
      <c r="A17" s="100">
        <v>67</v>
      </c>
      <c r="B17" s="23">
        <v>34.926913524627601</v>
      </c>
      <c r="C17" s="24">
        <v>215.73</v>
      </c>
      <c r="D17" s="24">
        <v>159.78088591411688</v>
      </c>
      <c r="E17" s="23">
        <v>43.827866392518629</v>
      </c>
      <c r="F17" s="24">
        <v>630.502098786837</v>
      </c>
      <c r="G17" s="24">
        <v>27.090000000000003</v>
      </c>
      <c r="H17" s="24">
        <v>150.56363569299629</v>
      </c>
      <c r="I17" s="23">
        <v>4.8869661114973795</v>
      </c>
      <c r="J17" s="24">
        <v>70.777077582670245</v>
      </c>
      <c r="K17" s="24">
        <v>188.64</v>
      </c>
      <c r="L17" s="24">
        <v>161.0612376538914</v>
      </c>
      <c r="M17" s="23">
        <v>38.94090028102125</v>
      </c>
      <c r="N17" s="24">
        <v>559.72502120416675</v>
      </c>
      <c r="O17" s="23">
        <v>1.8709845983506501</v>
      </c>
      <c r="P17" s="21">
        <v>0.93625141885684471</v>
      </c>
      <c r="Q17" s="21">
        <v>1.4329807022484067</v>
      </c>
      <c r="R17" s="23">
        <v>16.736390472663913</v>
      </c>
      <c r="S17" s="23">
        <v>17.408460841063995</v>
      </c>
      <c r="T17" s="89">
        <v>1166.3668763512876</v>
      </c>
      <c r="U17" s="24">
        <v>68.126966202339347</v>
      </c>
      <c r="V17" s="23">
        <v>12.557363370880269</v>
      </c>
      <c r="W17" s="23">
        <v>7.823800905001697</v>
      </c>
      <c r="Y17" s="16"/>
    </row>
    <row r="18" spans="1:25">
      <c r="A18" s="102">
        <v>73</v>
      </c>
      <c r="B18" s="103">
        <v>36.359597049713102</v>
      </c>
      <c r="C18" s="104">
        <v>188.64</v>
      </c>
      <c r="D18" s="104">
        <v>172.2871452439953</v>
      </c>
      <c r="E18" s="103">
        <v>44.558408794162318</v>
      </c>
      <c r="F18" s="104">
        <v>660.14336404015023</v>
      </c>
      <c r="G18" s="104">
        <v>21.869999999999976</v>
      </c>
      <c r="H18" s="104">
        <v>162.36841218891885</v>
      </c>
      <c r="I18" s="103">
        <v>4.588196469899664</v>
      </c>
      <c r="J18" s="104">
        <v>68.385493687940993</v>
      </c>
      <c r="K18" s="104">
        <v>166.77</v>
      </c>
      <c r="L18" s="104">
        <v>173.54583497980752</v>
      </c>
      <c r="M18" s="103">
        <v>39.970212324262654</v>
      </c>
      <c r="N18" s="104">
        <v>591.75787035220924</v>
      </c>
      <c r="O18" s="103">
        <v>1.8638271363837002</v>
      </c>
      <c r="P18" s="105">
        <v>0.8861959375330043</v>
      </c>
      <c r="Q18" s="105">
        <v>1.392153637860059</v>
      </c>
      <c r="R18" s="103">
        <v>16.026653725311899</v>
      </c>
      <c r="S18" s="103">
        <v>17.353222180647549</v>
      </c>
      <c r="T18" s="106">
        <v>1266.7852191872712</v>
      </c>
      <c r="U18" s="104">
        <v>65.819524272740054</v>
      </c>
      <c r="V18" s="103">
        <v>11.593511450381667</v>
      </c>
      <c r="W18" s="103">
        <v>8.3210037891013471</v>
      </c>
      <c r="Y18" s="16"/>
    </row>
    <row r="19" spans="1:25">
      <c r="A19" s="100">
        <v>79</v>
      </c>
      <c r="B19" s="23">
        <v>37.658007068633999</v>
      </c>
      <c r="C19" s="24">
        <v>166.77</v>
      </c>
      <c r="D19" s="24">
        <v>184.72879779810972</v>
      </c>
      <c r="E19" s="23">
        <v>45.28738794946068</v>
      </c>
      <c r="F19" s="24">
        <v>687.91779270408063</v>
      </c>
      <c r="G19" s="24">
        <v>17.640000000000015</v>
      </c>
      <c r="H19" s="24">
        <v>176.09099499567259</v>
      </c>
      <c r="I19" s="23">
        <v>4.3527428583276588</v>
      </c>
      <c r="J19" s="24">
        <v>66.675306396202245</v>
      </c>
      <c r="K19" s="24">
        <v>149.13</v>
      </c>
      <c r="L19" s="24">
        <v>185.7239611340365</v>
      </c>
      <c r="M19" s="23">
        <v>40.934645091133021</v>
      </c>
      <c r="N19" s="24">
        <v>621.24248630787838</v>
      </c>
      <c r="O19" s="23">
        <v>1.8606296463234031</v>
      </c>
      <c r="P19" s="21">
        <v>0.8448377997227704</v>
      </c>
      <c r="Q19" s="21">
        <v>1.3537264707466117</v>
      </c>
      <c r="R19" s="23">
        <v>15.427924147837965</v>
      </c>
      <c r="S19" s="23">
        <v>17.252470146065093</v>
      </c>
      <c r="T19" s="89">
        <v>1362.9451415391425</v>
      </c>
      <c r="U19" s="24">
        <v>63.699975831482426</v>
      </c>
      <c r="V19" s="23">
        <v>10.577441985968706</v>
      </c>
      <c r="W19" s="23">
        <v>8.7993820701161862</v>
      </c>
      <c r="Y19" s="16"/>
    </row>
    <row r="20" spans="1:25">
      <c r="A20" s="107">
        <v>85</v>
      </c>
      <c r="B20" s="108">
        <v>38.830974754333397</v>
      </c>
      <c r="C20" s="109">
        <v>149.13</v>
      </c>
      <c r="D20" s="109">
        <v>196.88773901197692</v>
      </c>
      <c r="E20" s="108">
        <v>46.003671889469643</v>
      </c>
      <c r="F20" s="109">
        <v>713.81003119490617</v>
      </c>
      <c r="G20" s="109">
        <v>149.13</v>
      </c>
      <c r="H20" s="109">
        <v>196.88773901197692</v>
      </c>
      <c r="I20" s="108">
        <v>46.003671889469643</v>
      </c>
      <c r="J20" s="109">
        <v>713.81003119490617</v>
      </c>
      <c r="K20" s="109" t="s">
        <v>27</v>
      </c>
      <c r="L20" s="109" t="s">
        <v>27</v>
      </c>
      <c r="M20" s="108" t="s">
        <v>27</v>
      </c>
      <c r="N20" s="109" t="s">
        <v>27</v>
      </c>
      <c r="O20" s="108" t="s">
        <v>27</v>
      </c>
      <c r="P20" s="110" t="s">
        <v>27</v>
      </c>
      <c r="Q20" s="110">
        <v>1.3178049174978699</v>
      </c>
      <c r="R20" s="108" t="s">
        <v>27</v>
      </c>
      <c r="S20" s="108">
        <v>17.123678663837296</v>
      </c>
      <c r="T20" s="111">
        <v>1455.5126864261701</v>
      </c>
      <c r="U20" s="109">
        <v>61.959726711333545</v>
      </c>
      <c r="V20" s="112" t="s">
        <v>27</v>
      </c>
      <c r="W20" s="113" t="s">
        <v>27</v>
      </c>
    </row>
    <row r="22" spans="1:25">
      <c r="A22" s="12" t="s">
        <v>32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 spans="1:25" ht="15" customHeight="1">
      <c r="A23" s="187" t="s">
        <v>1</v>
      </c>
      <c r="B23" s="187" t="s">
        <v>2</v>
      </c>
      <c r="C23" s="189" t="s">
        <v>33</v>
      </c>
      <c r="D23" s="190"/>
      <c r="E23" s="190"/>
      <c r="F23" s="190"/>
      <c r="G23" s="190"/>
      <c r="H23" s="190"/>
      <c r="I23" s="190"/>
      <c r="J23" s="191"/>
      <c r="K23" s="189" t="s">
        <v>105</v>
      </c>
      <c r="L23" s="191"/>
      <c r="M23" s="189" t="s">
        <v>34</v>
      </c>
      <c r="N23" s="190"/>
      <c r="O23" s="190"/>
      <c r="P23" s="190"/>
      <c r="Q23" s="190"/>
      <c r="R23" s="190"/>
      <c r="S23" s="190"/>
      <c r="T23" s="191"/>
      <c r="U23" s="189" t="s">
        <v>106</v>
      </c>
      <c r="V23" s="191"/>
      <c r="W23" s="193" t="s">
        <v>113</v>
      </c>
    </row>
    <row r="24" spans="1:25">
      <c r="A24" s="188"/>
      <c r="B24" s="188"/>
      <c r="C24" s="96" t="s">
        <v>19</v>
      </c>
      <c r="D24" s="96" t="s">
        <v>20</v>
      </c>
      <c r="E24" s="96" t="s">
        <v>21</v>
      </c>
      <c r="F24" s="96" t="s">
        <v>22</v>
      </c>
      <c r="G24" s="96" t="s">
        <v>23</v>
      </c>
      <c r="H24" s="96" t="s">
        <v>24</v>
      </c>
      <c r="I24" s="96" t="s">
        <v>25</v>
      </c>
      <c r="J24" s="96" t="s">
        <v>26</v>
      </c>
      <c r="K24" s="130" t="s">
        <v>105</v>
      </c>
      <c r="L24" s="130" t="s">
        <v>107</v>
      </c>
      <c r="M24" s="96" t="s">
        <v>19</v>
      </c>
      <c r="N24" s="96" t="s">
        <v>20</v>
      </c>
      <c r="O24" s="96" t="s">
        <v>21</v>
      </c>
      <c r="P24" s="96" t="s">
        <v>22</v>
      </c>
      <c r="Q24" s="96" t="s">
        <v>23</v>
      </c>
      <c r="R24" s="96" t="s">
        <v>24</v>
      </c>
      <c r="S24" s="96" t="s">
        <v>25</v>
      </c>
      <c r="T24" s="96" t="s">
        <v>26</v>
      </c>
      <c r="U24" s="133" t="s">
        <v>106</v>
      </c>
      <c r="V24" s="133" t="s">
        <v>107</v>
      </c>
      <c r="W24" s="194"/>
    </row>
    <row r="25" spans="1:25" s="95" customFormat="1" ht="12">
      <c r="A25" s="92" t="s">
        <v>65</v>
      </c>
      <c r="B25" s="92" t="s">
        <v>66</v>
      </c>
      <c r="C25" s="92" t="s">
        <v>70</v>
      </c>
      <c r="D25" s="92" t="s">
        <v>70</v>
      </c>
      <c r="E25" s="92" t="s">
        <v>70</v>
      </c>
      <c r="F25" s="92" t="s">
        <v>70</v>
      </c>
      <c r="G25" s="92" t="s">
        <v>70</v>
      </c>
      <c r="H25" s="92" t="s">
        <v>70</v>
      </c>
      <c r="I25" s="92" t="s">
        <v>70</v>
      </c>
      <c r="J25" s="92" t="s">
        <v>70</v>
      </c>
      <c r="K25" s="92" t="s">
        <v>75</v>
      </c>
      <c r="L25" s="92" t="s">
        <v>75</v>
      </c>
      <c r="M25" s="92" t="s">
        <v>70</v>
      </c>
      <c r="N25" s="92" t="s">
        <v>70</v>
      </c>
      <c r="O25" s="92" t="s">
        <v>70</v>
      </c>
      <c r="P25" s="92" t="s">
        <v>70</v>
      </c>
      <c r="Q25" s="92" t="s">
        <v>70</v>
      </c>
      <c r="R25" s="92" t="s">
        <v>70</v>
      </c>
      <c r="S25" s="92" t="s">
        <v>70</v>
      </c>
      <c r="T25" s="92" t="s">
        <v>70</v>
      </c>
      <c r="U25" s="92" t="s">
        <v>75</v>
      </c>
      <c r="V25" s="92" t="s">
        <v>75</v>
      </c>
      <c r="W25" s="92" t="s">
        <v>75</v>
      </c>
    </row>
    <row r="26" spans="1:25">
      <c r="A26" s="87">
        <v>19</v>
      </c>
      <c r="B26" s="23">
        <v>13.055091427802999</v>
      </c>
      <c r="C26" s="24">
        <v>36.197153124643371</v>
      </c>
      <c r="D26" s="24">
        <v>102.65972299305379</v>
      </c>
      <c r="E26" s="24">
        <v>16.531164340553801</v>
      </c>
      <c r="F26" s="24">
        <v>0</v>
      </c>
      <c r="G26" s="24">
        <v>0</v>
      </c>
      <c r="H26" s="24">
        <v>0</v>
      </c>
      <c r="I26" s="24">
        <v>0</v>
      </c>
      <c r="J26" s="24">
        <v>0</v>
      </c>
      <c r="K26" s="88">
        <v>4533.4053249422514</v>
      </c>
      <c r="L26" s="88">
        <v>3111.8688615464657</v>
      </c>
      <c r="M26" s="25">
        <v>13.370500956414528</v>
      </c>
      <c r="N26" s="25">
        <v>25.487332748260897</v>
      </c>
      <c r="O26" s="25">
        <v>3.7481681641404703</v>
      </c>
      <c r="P26" s="25">
        <v>0</v>
      </c>
      <c r="Q26" s="25">
        <v>0</v>
      </c>
      <c r="R26" s="25">
        <v>0</v>
      </c>
      <c r="S26" s="25">
        <v>0</v>
      </c>
      <c r="T26" s="25">
        <v>0</v>
      </c>
      <c r="U26" s="88">
        <v>823.07587279450343</v>
      </c>
      <c r="V26" s="88">
        <v>564.98459671086709</v>
      </c>
      <c r="W26" s="89">
        <v>3111.8688615464657</v>
      </c>
    </row>
    <row r="27" spans="1:25">
      <c r="A27" s="114">
        <v>25</v>
      </c>
      <c r="B27" s="103">
        <v>17.141176958084099</v>
      </c>
      <c r="C27" s="104">
        <v>6.2728694951122099</v>
      </c>
      <c r="D27" s="104">
        <v>101.1157284515794</v>
      </c>
      <c r="E27" s="104">
        <v>77.098091512516604</v>
      </c>
      <c r="F27" s="104">
        <v>63.038438406586081</v>
      </c>
      <c r="G27" s="104">
        <v>0</v>
      </c>
      <c r="H27" s="104">
        <v>0</v>
      </c>
      <c r="I27" s="104">
        <v>0</v>
      </c>
      <c r="J27" s="104">
        <v>0</v>
      </c>
      <c r="K27" s="115">
        <v>9879.7938643344787</v>
      </c>
      <c r="L27" s="115">
        <v>6022.0393547677477</v>
      </c>
      <c r="M27" s="116">
        <v>5.139312425415425</v>
      </c>
      <c r="N27" s="116">
        <v>30.296252385771638</v>
      </c>
      <c r="O27" s="116">
        <v>8.0206440182107563</v>
      </c>
      <c r="P27" s="116">
        <v>6.9171999654717791</v>
      </c>
      <c r="Q27" s="116">
        <v>0</v>
      </c>
      <c r="R27" s="116">
        <v>0</v>
      </c>
      <c r="S27" s="116">
        <v>0</v>
      </c>
      <c r="T27" s="116">
        <v>0</v>
      </c>
      <c r="U27" s="115">
        <v>1347.469414383504</v>
      </c>
      <c r="V27" s="115">
        <v>821.32420515940805</v>
      </c>
      <c r="W27" s="106">
        <v>6587.0239514786144</v>
      </c>
    </row>
    <row r="28" spans="1:25">
      <c r="A28" s="87">
        <v>31</v>
      </c>
      <c r="B28" s="23">
        <v>20.8328584403991</v>
      </c>
      <c r="C28" s="24">
        <v>0.13094694432721873</v>
      </c>
      <c r="D28" s="24">
        <v>28.060854591031713</v>
      </c>
      <c r="E28" s="24">
        <v>71.443136697708837</v>
      </c>
      <c r="F28" s="24">
        <v>187.07678938632114</v>
      </c>
      <c r="G28" s="24">
        <v>51.865783845248146</v>
      </c>
      <c r="H28" s="24">
        <v>0</v>
      </c>
      <c r="I28" s="24">
        <v>0</v>
      </c>
      <c r="J28" s="24">
        <v>0</v>
      </c>
      <c r="K28" s="88">
        <v>16878.965581768374</v>
      </c>
      <c r="L28" s="88">
        <v>9135.6720919492218</v>
      </c>
      <c r="M28" s="25">
        <v>0.13094694432721873</v>
      </c>
      <c r="N28" s="25">
        <v>19.033904746343854</v>
      </c>
      <c r="O28" s="25">
        <v>21.769159480796848</v>
      </c>
      <c r="P28" s="25">
        <v>17.631001416794014</v>
      </c>
      <c r="Q28" s="25">
        <v>4.0476060115318653</v>
      </c>
      <c r="R28" s="25">
        <v>0</v>
      </c>
      <c r="S28" s="25">
        <v>0</v>
      </c>
      <c r="T28" s="25">
        <v>0</v>
      </c>
      <c r="U28" s="88">
        <v>2345.5442162049176</v>
      </c>
      <c r="V28" s="88">
        <v>1269.5163535117058</v>
      </c>
      <c r="W28" s="89">
        <v>10521.980893819496</v>
      </c>
    </row>
    <row r="29" spans="1:25">
      <c r="A29" s="114">
        <v>37</v>
      </c>
      <c r="B29" s="103">
        <v>24.083262083053501</v>
      </c>
      <c r="C29" s="104">
        <v>0</v>
      </c>
      <c r="D29" s="104">
        <v>1.0782262361134132</v>
      </c>
      <c r="E29" s="104">
        <v>13.954356830902128</v>
      </c>
      <c r="F29" s="104">
        <v>179.65485319937437</v>
      </c>
      <c r="G29" s="104">
        <v>220.7785746495787</v>
      </c>
      <c r="H29" s="104">
        <v>0</v>
      </c>
      <c r="I29" s="104">
        <v>0</v>
      </c>
      <c r="J29" s="104">
        <v>0</v>
      </c>
      <c r="K29" s="115">
        <v>24167.618291066843</v>
      </c>
      <c r="L29" s="115">
        <v>11615.221544272061</v>
      </c>
      <c r="M29" s="116">
        <v>0</v>
      </c>
      <c r="N29" s="116">
        <v>1.0782262361134132</v>
      </c>
      <c r="O29" s="116">
        <v>10.716817755099022</v>
      </c>
      <c r="P29" s="116">
        <v>43.556427846432385</v>
      </c>
      <c r="Q29" s="116">
        <v>15.364536632120517</v>
      </c>
      <c r="R29" s="116">
        <v>0</v>
      </c>
      <c r="S29" s="116">
        <v>0</v>
      </c>
      <c r="T29" s="116">
        <v>0</v>
      </c>
      <c r="U29" s="115">
        <v>3338.2780150576914</v>
      </c>
      <c r="V29" s="115">
        <v>1604.41290715024</v>
      </c>
      <c r="W29" s="106">
        <v>14271.046699654042</v>
      </c>
    </row>
    <row r="30" spans="1:25">
      <c r="A30" s="87">
        <v>43</v>
      </c>
      <c r="B30" s="23">
        <v>26.902151565551701</v>
      </c>
      <c r="C30" s="24">
        <v>0</v>
      </c>
      <c r="D30" s="24">
        <v>0</v>
      </c>
      <c r="E30" s="24">
        <v>0</v>
      </c>
      <c r="F30" s="24">
        <v>45.422832492049878</v>
      </c>
      <c r="G30" s="24">
        <v>373.11555817236274</v>
      </c>
      <c r="H30" s="24">
        <v>59.920369950324044</v>
      </c>
      <c r="I30" s="24">
        <v>0</v>
      </c>
      <c r="J30" s="24">
        <v>0</v>
      </c>
      <c r="K30" s="88">
        <v>31037.250681676593</v>
      </c>
      <c r="L30" s="88">
        <v>13245.728780251164</v>
      </c>
      <c r="M30" s="25">
        <v>0</v>
      </c>
      <c r="N30" s="25">
        <v>0</v>
      </c>
      <c r="O30" s="25">
        <v>0</v>
      </c>
      <c r="P30" s="25">
        <v>29.730653613665933</v>
      </c>
      <c r="Q30" s="25">
        <v>47.153868796282822</v>
      </c>
      <c r="R30" s="25">
        <v>4.3555018317085645</v>
      </c>
      <c r="S30" s="25">
        <v>0</v>
      </c>
      <c r="T30" s="25">
        <v>0</v>
      </c>
      <c r="U30" s="88">
        <v>4517.9472753469036</v>
      </c>
      <c r="V30" s="88">
        <v>1928.1187263164873</v>
      </c>
      <c r="W30" s="89">
        <v>17505.966842783386</v>
      </c>
    </row>
    <row r="31" spans="1:25">
      <c r="A31" s="114">
        <v>49</v>
      </c>
      <c r="B31" s="103">
        <v>29.338227533340401</v>
      </c>
      <c r="C31" s="104">
        <v>0</v>
      </c>
      <c r="D31" s="104">
        <v>0</v>
      </c>
      <c r="E31" s="104">
        <v>0</v>
      </c>
      <c r="F31" s="104">
        <v>0.36929561147095558</v>
      </c>
      <c r="G31" s="104">
        <v>294.66122383950574</v>
      </c>
      <c r="H31" s="104">
        <v>227.56073406572355</v>
      </c>
      <c r="I31" s="104">
        <v>0</v>
      </c>
      <c r="J31" s="104">
        <v>0</v>
      </c>
      <c r="K31" s="115">
        <v>36629.074652341122</v>
      </c>
      <c r="L31" s="115">
        <v>13880.896980451775</v>
      </c>
      <c r="M31" s="116">
        <v>0</v>
      </c>
      <c r="N31" s="116">
        <v>0</v>
      </c>
      <c r="O31" s="116">
        <v>0</v>
      </c>
      <c r="P31" s="116">
        <v>0.36929561147095558</v>
      </c>
      <c r="Q31" s="116">
        <v>65.733697361743225</v>
      </c>
      <c r="R31" s="116">
        <v>12.081925312750936</v>
      </c>
      <c r="S31" s="116">
        <v>0</v>
      </c>
      <c r="T31" s="116">
        <v>0</v>
      </c>
      <c r="U31" s="115">
        <v>4845.9857542340051</v>
      </c>
      <c r="V31" s="115">
        <v>1836.4272005697478</v>
      </c>
      <c r="W31" s="106">
        <v>20069.253769300485</v>
      </c>
    </row>
    <row r="32" spans="1:25">
      <c r="A32" s="87">
        <v>55</v>
      </c>
      <c r="B32" s="23">
        <v>31.457775308609001</v>
      </c>
      <c r="C32" s="24">
        <v>0</v>
      </c>
      <c r="D32" s="24">
        <v>0</v>
      </c>
      <c r="E32" s="24">
        <v>0</v>
      </c>
      <c r="F32" s="24">
        <v>0</v>
      </c>
      <c r="G32" s="24">
        <v>78.361226742588187</v>
      </c>
      <c r="H32" s="24">
        <v>443.74525904996005</v>
      </c>
      <c r="I32" s="24">
        <v>39.852675569825387</v>
      </c>
      <c r="J32" s="24">
        <v>0</v>
      </c>
      <c r="K32" s="88">
        <v>41485.73597833627</v>
      </c>
      <c r="L32" s="88">
        <v>13960.126452554179</v>
      </c>
      <c r="M32" s="25">
        <v>0</v>
      </c>
      <c r="N32" s="25">
        <v>0</v>
      </c>
      <c r="O32" s="25">
        <v>0</v>
      </c>
      <c r="P32" s="25">
        <v>0</v>
      </c>
      <c r="Q32" s="25">
        <v>36.926115825610331</v>
      </c>
      <c r="R32" s="25">
        <v>36.764139158826282</v>
      </c>
      <c r="S32" s="25">
        <v>1.6323666205015082</v>
      </c>
      <c r="T32" s="25">
        <v>0</v>
      </c>
      <c r="U32" s="88">
        <v>5018.5997900953917</v>
      </c>
      <c r="V32" s="88">
        <v>1688.7801561741321</v>
      </c>
      <c r="W32" s="89">
        <v>21984.910441972635</v>
      </c>
    </row>
    <row r="33" spans="1:25">
      <c r="A33" s="114">
        <v>61</v>
      </c>
      <c r="B33" s="103">
        <v>33.301141773223797</v>
      </c>
      <c r="C33" s="104">
        <v>0</v>
      </c>
      <c r="D33" s="104">
        <v>0</v>
      </c>
      <c r="E33" s="104">
        <v>0</v>
      </c>
      <c r="F33" s="104">
        <v>0</v>
      </c>
      <c r="G33" s="104">
        <v>0.44194990763366759</v>
      </c>
      <c r="H33" s="104">
        <v>405.1315242608851</v>
      </c>
      <c r="I33" s="104">
        <v>191.93945602827492</v>
      </c>
      <c r="J33" s="104">
        <v>0</v>
      </c>
      <c r="K33" s="115">
        <v>45528.328011864003</v>
      </c>
      <c r="L33" s="115">
        <v>13604.144117203816</v>
      </c>
      <c r="M33" s="116">
        <v>0</v>
      </c>
      <c r="N33" s="116">
        <v>0</v>
      </c>
      <c r="O33" s="116">
        <v>0</v>
      </c>
      <c r="P33" s="116">
        <v>0</v>
      </c>
      <c r="Q33" s="116">
        <v>0.44194990763366759</v>
      </c>
      <c r="R33" s="116">
        <v>64.74194441065903</v>
      </c>
      <c r="S33" s="116">
        <v>7.3061520850501358</v>
      </c>
      <c r="T33" s="116">
        <v>0</v>
      </c>
      <c r="U33" s="115">
        <v>5028.7750821878817</v>
      </c>
      <c r="V33" s="115">
        <v>1502.6288892765888</v>
      </c>
      <c r="W33" s="106">
        <v>23317.708262796405</v>
      </c>
    </row>
    <row r="34" spans="1:25">
      <c r="A34" s="87">
        <v>67</v>
      </c>
      <c r="B34" s="23">
        <v>34.926913524627601</v>
      </c>
      <c r="C34" s="24">
        <v>0</v>
      </c>
      <c r="D34" s="24">
        <v>0</v>
      </c>
      <c r="E34" s="24">
        <v>0</v>
      </c>
      <c r="F34" s="24">
        <v>0</v>
      </c>
      <c r="G34" s="24">
        <v>0</v>
      </c>
      <c r="H34" s="24">
        <v>179.56107140210156</v>
      </c>
      <c r="I34" s="24">
        <v>450.17364515299158</v>
      </c>
      <c r="J34" s="24">
        <v>0.34691624875654825</v>
      </c>
      <c r="K34" s="88">
        <v>48761.639617128843</v>
      </c>
      <c r="L34" s="88">
        <v>12937.989440734047</v>
      </c>
      <c r="M34" s="25">
        <v>0</v>
      </c>
      <c r="N34" s="25">
        <v>0</v>
      </c>
      <c r="O34" s="25">
        <v>0</v>
      </c>
      <c r="P34" s="25">
        <v>0</v>
      </c>
      <c r="Q34" s="25">
        <v>0</v>
      </c>
      <c r="R34" s="25">
        <v>50.703125970081288</v>
      </c>
      <c r="S34" s="25">
        <v>19.653485629601338</v>
      </c>
      <c r="T34" s="25">
        <v>0</v>
      </c>
      <c r="U34" s="88">
        <v>4973.5393528719278</v>
      </c>
      <c r="V34" s="88">
        <v>1319.6356836189818</v>
      </c>
      <c r="W34" s="89">
        <v>24154.182475603226</v>
      </c>
    </row>
    <row r="35" spans="1:25">
      <c r="A35" s="114">
        <v>73</v>
      </c>
      <c r="B35" s="103">
        <v>36.359597049713102</v>
      </c>
      <c r="C35" s="104">
        <v>0</v>
      </c>
      <c r="D35" s="104">
        <v>0</v>
      </c>
      <c r="E35" s="104">
        <v>0</v>
      </c>
      <c r="F35" s="104">
        <v>0</v>
      </c>
      <c r="G35" s="104">
        <v>0</v>
      </c>
      <c r="H35" s="104">
        <v>9.490480517051175</v>
      </c>
      <c r="I35" s="104">
        <v>524.02918789168314</v>
      </c>
      <c r="J35" s="104">
        <v>126.33008505239209</v>
      </c>
      <c r="K35" s="115">
        <v>51156.248581341635</v>
      </c>
      <c r="L35" s="115">
        <v>12052.750054856642</v>
      </c>
      <c r="M35" s="116">
        <v>0</v>
      </c>
      <c r="N35" s="116">
        <v>0</v>
      </c>
      <c r="O35" s="116">
        <v>0</v>
      </c>
      <c r="P35" s="116">
        <v>0</v>
      </c>
      <c r="Q35" s="116">
        <v>0</v>
      </c>
      <c r="R35" s="116">
        <v>7.7625747514435801</v>
      </c>
      <c r="S35" s="116">
        <v>56.187231704443029</v>
      </c>
      <c r="T35" s="116">
        <v>4.1420766530290756</v>
      </c>
      <c r="U35" s="115">
        <v>4822.7546893127856</v>
      </c>
      <c r="V35" s="115">
        <v>1136.2728592920278</v>
      </c>
      <c r="W35" s="106">
        <v>24588.578773344801</v>
      </c>
    </row>
    <row r="36" spans="1:25">
      <c r="A36" s="87">
        <v>79</v>
      </c>
      <c r="B36" s="23">
        <v>37.658007068633999</v>
      </c>
      <c r="C36" s="24">
        <v>0</v>
      </c>
      <c r="D36" s="24">
        <v>0</v>
      </c>
      <c r="E36" s="24">
        <v>0</v>
      </c>
      <c r="F36" s="24">
        <v>0</v>
      </c>
      <c r="G36" s="24">
        <v>0</v>
      </c>
      <c r="H36" s="24">
        <v>0</v>
      </c>
      <c r="I36" s="24">
        <v>336.52351114467893</v>
      </c>
      <c r="J36" s="24">
        <v>350.96617396934261</v>
      </c>
      <c r="K36" s="88">
        <v>52757.714923178428</v>
      </c>
      <c r="L36" s="88">
        <v>11037.542977918791</v>
      </c>
      <c r="M36" s="25">
        <v>0</v>
      </c>
      <c r="N36" s="25">
        <v>0</v>
      </c>
      <c r="O36" s="25">
        <v>0</v>
      </c>
      <c r="P36" s="25">
        <v>0</v>
      </c>
      <c r="Q36" s="25">
        <v>0</v>
      </c>
      <c r="R36" s="25">
        <v>0</v>
      </c>
      <c r="S36" s="25">
        <v>52.946225582220571</v>
      </c>
      <c r="T36" s="25">
        <v>13.300973223922627</v>
      </c>
      <c r="U36" s="88">
        <v>4617.7306420621671</v>
      </c>
      <c r="V36" s="88">
        <v>966.08430627501252</v>
      </c>
      <c r="W36" s="89">
        <v>24709.644555698978</v>
      </c>
    </row>
    <row r="37" spans="1:25">
      <c r="A37" s="114">
        <v>85</v>
      </c>
      <c r="B37" s="108">
        <v>38.830974754333397</v>
      </c>
      <c r="C37" s="109">
        <v>0</v>
      </c>
      <c r="D37" s="109">
        <v>0</v>
      </c>
      <c r="E37" s="109">
        <v>0</v>
      </c>
      <c r="F37" s="109">
        <v>0</v>
      </c>
      <c r="G37" s="109">
        <v>0</v>
      </c>
      <c r="H37" s="109">
        <v>0</v>
      </c>
      <c r="I37" s="109">
        <v>57.306040746809494</v>
      </c>
      <c r="J37" s="109">
        <v>656.50399044809581</v>
      </c>
      <c r="K37" s="117">
        <v>53657.038977364711</v>
      </c>
      <c r="L37" s="117">
        <v>9968.0935009258683</v>
      </c>
      <c r="M37" s="118">
        <v>0</v>
      </c>
      <c r="N37" s="118">
        <v>0</v>
      </c>
      <c r="O37" s="118">
        <v>0</v>
      </c>
      <c r="P37" s="118">
        <v>0</v>
      </c>
      <c r="Q37" s="118">
        <v>0</v>
      </c>
      <c r="R37" s="118">
        <v>0</v>
      </c>
      <c r="S37" s="118">
        <v>57.306040746809494</v>
      </c>
      <c r="T37" s="118">
        <v>656.50399044809581</v>
      </c>
      <c r="U37" s="117">
        <v>53657.038977364711</v>
      </c>
      <c r="V37" s="117">
        <v>9968.0935009258683</v>
      </c>
      <c r="W37" s="111">
        <v>24606.27938498107</v>
      </c>
    </row>
    <row r="38" spans="1:25" s="10" customFormat="1">
      <c r="A38" s="26" t="s">
        <v>13</v>
      </c>
      <c r="B38" s="27" t="s">
        <v>27</v>
      </c>
      <c r="C38" s="27" t="s">
        <v>27</v>
      </c>
      <c r="D38" s="27" t="s">
        <v>27</v>
      </c>
      <c r="E38" s="27" t="s">
        <v>27</v>
      </c>
      <c r="F38" s="27" t="s">
        <v>27</v>
      </c>
      <c r="G38" s="27" t="s">
        <v>27</v>
      </c>
      <c r="H38" s="27" t="s">
        <v>27</v>
      </c>
      <c r="I38" s="27" t="s">
        <v>27</v>
      </c>
      <c r="J38" s="27" t="s">
        <v>27</v>
      </c>
      <c r="K38" s="27" t="s">
        <v>27</v>
      </c>
      <c r="L38" s="27" t="s">
        <v>27</v>
      </c>
      <c r="M38" s="26">
        <v>18.640760326157171</v>
      </c>
      <c r="N38" s="26">
        <v>75.895716116489794</v>
      </c>
      <c r="O38" s="26">
        <v>44.254789418247093</v>
      </c>
      <c r="P38" s="26">
        <v>98.204578453835069</v>
      </c>
      <c r="Q38" s="26">
        <v>169.66777453492244</v>
      </c>
      <c r="R38" s="26">
        <v>176.40921143546967</v>
      </c>
      <c r="S38" s="26">
        <v>195.03150236862606</v>
      </c>
      <c r="T38" s="26">
        <v>673.94704032504751</v>
      </c>
      <c r="U38" s="27" t="s">
        <v>27</v>
      </c>
      <c r="V38" s="90">
        <v>24606.27938498107</v>
      </c>
      <c r="W38" s="28" t="s">
        <v>27</v>
      </c>
    </row>
    <row r="39" spans="1:25">
      <c r="A39" s="17"/>
      <c r="V39" s="9"/>
    </row>
    <row r="40" spans="1:25">
      <c r="H40" s="15"/>
      <c r="I40" s="15"/>
      <c r="J40" s="15"/>
      <c r="W40" s="15" t="s">
        <v>77</v>
      </c>
    </row>
    <row r="41" spans="1:25">
      <c r="V41" s="9"/>
      <c r="W41" s="15" t="s">
        <v>78</v>
      </c>
      <c r="X41" s="9"/>
      <c r="Y41" s="9"/>
    </row>
    <row r="42" spans="1:25">
      <c r="A42" s="8"/>
      <c r="B42" s="8"/>
      <c r="C42" s="8"/>
      <c r="D42" s="8"/>
      <c r="E42" s="8"/>
      <c r="F42" s="8"/>
      <c r="G42" s="8"/>
      <c r="H42" s="8"/>
      <c r="I42" s="8"/>
      <c r="J42" s="8"/>
      <c r="V42" s="9"/>
      <c r="W42" s="15"/>
      <c r="X42" s="9"/>
      <c r="Y42" s="15"/>
    </row>
    <row r="43" spans="1:25">
      <c r="V43" s="9"/>
      <c r="W43" s="9"/>
      <c r="X43" s="9"/>
      <c r="Y43" s="9"/>
    </row>
    <row r="44" spans="1:25"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spans="1:25">
      <c r="V45" s="9"/>
      <c r="W45" s="9"/>
      <c r="X45" s="9"/>
      <c r="Y45" s="9"/>
    </row>
    <row r="46" spans="1:25">
      <c r="V46" s="9"/>
      <c r="W46" s="9"/>
      <c r="X46" s="9"/>
      <c r="Y46" s="9"/>
    </row>
  </sheetData>
  <mergeCells count="17">
    <mergeCell ref="W6:W7"/>
    <mergeCell ref="U6:U7"/>
    <mergeCell ref="M23:T23"/>
    <mergeCell ref="C23:J23"/>
    <mergeCell ref="A6:A7"/>
    <mergeCell ref="B6:B7"/>
    <mergeCell ref="O6:T6"/>
    <mergeCell ref="C6:F6"/>
    <mergeCell ref="G6:J6"/>
    <mergeCell ref="K6:N6"/>
    <mergeCell ref="K23:L23"/>
    <mergeCell ref="W23:W24"/>
    <mergeCell ref="V6:V7"/>
    <mergeCell ref="B23:B24"/>
    <mergeCell ref="D1:T1"/>
    <mergeCell ref="U23:V23"/>
    <mergeCell ref="A23:A24"/>
  </mergeCells>
  <pageMargins left="0.70866141732283472" right="0.70866141732283472" top="0.74803149606299213" bottom="0.74803149606299213" header="0.31496062992125984" footer="0.31496062992125984"/>
  <pageSetup paperSize="9" scale="7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46"/>
  <sheetViews>
    <sheetView workbookViewId="0">
      <selection activeCell="W23" sqref="W23:W24"/>
    </sheetView>
  </sheetViews>
  <sheetFormatPr baseColWidth="10" defaultRowHeight="15"/>
  <cols>
    <col min="1" max="21" width="6.7109375" style="9" customWidth="1"/>
    <col min="22" max="23" width="6.7109375" style="17" customWidth="1"/>
    <col min="24" max="16384" width="11.42578125" style="17"/>
  </cols>
  <sheetData>
    <row r="1" spans="1:27" ht="30.75" customHeight="1">
      <c r="D1" s="151" t="s">
        <v>57</v>
      </c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</row>
    <row r="2" spans="1:27">
      <c r="A2" s="12"/>
      <c r="B2" s="14"/>
      <c r="C2" s="13"/>
      <c r="D2" s="13"/>
      <c r="E2" s="13"/>
      <c r="F2" s="13"/>
      <c r="G2" s="13"/>
      <c r="H2" s="13"/>
      <c r="I2" s="13"/>
      <c r="J2" s="13"/>
      <c r="K2" s="14"/>
      <c r="L2" s="13"/>
      <c r="M2" s="13"/>
      <c r="U2" s="15"/>
      <c r="V2" s="15"/>
      <c r="W2" s="15"/>
    </row>
    <row r="3" spans="1:27">
      <c r="A3" s="12" t="s">
        <v>85</v>
      </c>
      <c r="B3" s="12"/>
      <c r="C3" s="12"/>
      <c r="D3" s="14"/>
      <c r="E3" s="14" t="s">
        <v>80</v>
      </c>
      <c r="F3" s="14"/>
      <c r="G3" s="13"/>
      <c r="H3" s="13"/>
      <c r="I3" s="14"/>
      <c r="J3" s="13"/>
      <c r="K3" s="14" t="s">
        <v>81</v>
      </c>
      <c r="L3" s="14"/>
      <c r="M3" s="14"/>
      <c r="N3" s="13"/>
      <c r="R3" s="14" t="s">
        <v>83</v>
      </c>
      <c r="V3" s="9"/>
      <c r="W3" s="9"/>
    </row>
    <row r="4" spans="1:27">
      <c r="A4" s="13"/>
      <c r="B4" s="14"/>
      <c r="C4" s="13"/>
      <c r="D4" s="14"/>
      <c r="E4" s="14" t="s">
        <v>30</v>
      </c>
      <c r="F4" s="14"/>
      <c r="G4" s="13"/>
      <c r="H4" s="13"/>
      <c r="I4" s="14"/>
      <c r="J4" s="13"/>
      <c r="K4" s="14" t="s">
        <v>82</v>
      </c>
      <c r="L4" s="13"/>
      <c r="M4" s="13"/>
      <c r="N4" s="13"/>
      <c r="O4" s="8"/>
      <c r="P4" s="8"/>
      <c r="Q4" s="8"/>
      <c r="R4" s="14" t="s">
        <v>84</v>
      </c>
      <c r="S4" s="8"/>
      <c r="T4" s="8"/>
      <c r="U4" s="8"/>
      <c r="V4" s="8"/>
      <c r="W4" s="13"/>
    </row>
    <row r="5" spans="1:27">
      <c r="A5" s="12" t="s">
        <v>0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7">
      <c r="A6" s="185" t="s">
        <v>1</v>
      </c>
      <c r="B6" s="185" t="s">
        <v>2</v>
      </c>
      <c r="C6" s="198" t="s">
        <v>109</v>
      </c>
      <c r="D6" s="199"/>
      <c r="E6" s="199"/>
      <c r="F6" s="199"/>
      <c r="G6" s="199" t="s">
        <v>110</v>
      </c>
      <c r="H6" s="199"/>
      <c r="I6" s="199"/>
      <c r="J6" s="199"/>
      <c r="K6" s="199" t="s">
        <v>111</v>
      </c>
      <c r="L6" s="199"/>
      <c r="M6" s="199"/>
      <c r="N6" s="199"/>
      <c r="O6" s="195" t="s">
        <v>3</v>
      </c>
      <c r="P6" s="196"/>
      <c r="Q6" s="196"/>
      <c r="R6" s="196"/>
      <c r="S6" s="196"/>
      <c r="T6" s="197"/>
      <c r="U6" s="187" t="s">
        <v>14</v>
      </c>
      <c r="V6" s="193" t="s">
        <v>64</v>
      </c>
      <c r="W6" s="187" t="s">
        <v>31</v>
      </c>
    </row>
    <row r="7" spans="1:27">
      <c r="A7" s="186"/>
      <c r="B7" s="186"/>
      <c r="C7" s="101" t="s">
        <v>4</v>
      </c>
      <c r="D7" s="101" t="s">
        <v>5</v>
      </c>
      <c r="E7" s="101" t="s">
        <v>6</v>
      </c>
      <c r="F7" s="101" t="s">
        <v>7</v>
      </c>
      <c r="G7" s="101" t="s">
        <v>4</v>
      </c>
      <c r="H7" s="101" t="s">
        <v>5</v>
      </c>
      <c r="I7" s="101" t="s">
        <v>6</v>
      </c>
      <c r="J7" s="101" t="s">
        <v>7</v>
      </c>
      <c r="K7" s="101" t="s">
        <v>4</v>
      </c>
      <c r="L7" s="101" t="s">
        <v>5</v>
      </c>
      <c r="M7" s="101" t="s">
        <v>6</v>
      </c>
      <c r="N7" s="101" t="s">
        <v>7</v>
      </c>
      <c r="O7" s="99" t="s">
        <v>15</v>
      </c>
      <c r="P7" s="101" t="s">
        <v>8</v>
      </c>
      <c r="Q7" s="101" t="s">
        <v>9</v>
      </c>
      <c r="R7" s="101" t="s">
        <v>10</v>
      </c>
      <c r="S7" s="101" t="s">
        <v>11</v>
      </c>
      <c r="T7" s="101" t="s">
        <v>12</v>
      </c>
      <c r="U7" s="192"/>
      <c r="V7" s="194"/>
      <c r="W7" s="188"/>
    </row>
    <row r="8" spans="1:27" s="95" customFormat="1" ht="12" customHeight="1">
      <c r="A8" s="92" t="s">
        <v>65</v>
      </c>
      <c r="B8" s="92" t="s">
        <v>66</v>
      </c>
      <c r="C8" s="92" t="s">
        <v>67</v>
      </c>
      <c r="D8" s="92" t="s">
        <v>68</v>
      </c>
      <c r="E8" s="92" t="s">
        <v>69</v>
      </c>
      <c r="F8" s="92" t="s">
        <v>70</v>
      </c>
      <c r="G8" s="92" t="s">
        <v>67</v>
      </c>
      <c r="H8" s="92" t="s">
        <v>68</v>
      </c>
      <c r="I8" s="92" t="s">
        <v>69</v>
      </c>
      <c r="J8" s="92" t="s">
        <v>70</v>
      </c>
      <c r="K8" s="92" t="s">
        <v>67</v>
      </c>
      <c r="L8" s="92" t="s">
        <v>68</v>
      </c>
      <c r="M8" s="92" t="s">
        <v>69</v>
      </c>
      <c r="N8" s="92" t="s">
        <v>70</v>
      </c>
      <c r="O8" s="92" t="s">
        <v>71</v>
      </c>
      <c r="P8" s="92" t="s">
        <v>72</v>
      </c>
      <c r="Q8" s="92" t="s">
        <v>72</v>
      </c>
      <c r="R8" s="92" t="s">
        <v>73</v>
      </c>
      <c r="S8" s="92" t="s">
        <v>73</v>
      </c>
      <c r="T8" s="92" t="s">
        <v>70</v>
      </c>
      <c r="U8" s="93"/>
      <c r="V8" s="94" t="s">
        <v>74</v>
      </c>
      <c r="W8" s="92" t="s">
        <v>66</v>
      </c>
    </row>
    <row r="9" spans="1:27">
      <c r="A9" s="22">
        <v>22</v>
      </c>
      <c r="B9" s="19">
        <v>13.4845451726913</v>
      </c>
      <c r="C9" s="18">
        <v>1707.625</v>
      </c>
      <c r="D9" s="18">
        <v>45.604161919231444</v>
      </c>
      <c r="E9" s="19">
        <v>28.261265059912699</v>
      </c>
      <c r="F9" s="18">
        <v>171.84893657487041</v>
      </c>
      <c r="G9" s="18">
        <v>557.42499999999995</v>
      </c>
      <c r="H9" s="18">
        <v>42.45159447214165</v>
      </c>
      <c r="I9" s="19">
        <v>7.9940082527550196</v>
      </c>
      <c r="J9" s="18">
        <v>47.074477829598095</v>
      </c>
      <c r="K9" s="18">
        <v>1150.2</v>
      </c>
      <c r="L9" s="18">
        <v>47.056078929373378</v>
      </c>
      <c r="M9" s="19">
        <v>20.267256807157679</v>
      </c>
      <c r="N9" s="18">
        <v>124.77445874527231</v>
      </c>
      <c r="O9" s="19">
        <v>1.9517703997912637</v>
      </c>
      <c r="P9" s="20">
        <v>1.8768732538229849</v>
      </c>
      <c r="Q9" s="20">
        <v>1.2846029572687589</v>
      </c>
      <c r="R9" s="19">
        <v>19.934905905010051</v>
      </c>
      <c r="S9" s="19">
        <v>7.8113152988577461</v>
      </c>
      <c r="T9" s="91">
        <v>171.84893657487041</v>
      </c>
      <c r="U9" s="18">
        <v>90.026515203507259</v>
      </c>
      <c r="V9" s="19">
        <v>32.643291120708582</v>
      </c>
      <c r="W9" s="23">
        <v>3.1684583493266238</v>
      </c>
      <c r="Y9" s="16"/>
      <c r="Z9" s="16"/>
      <c r="AA9" s="16"/>
    </row>
    <row r="10" spans="1:27">
      <c r="A10" s="102">
        <v>28</v>
      </c>
      <c r="B10" s="103">
        <v>16.993536701202299</v>
      </c>
      <c r="C10" s="104">
        <v>1147.23</v>
      </c>
      <c r="D10" s="104">
        <v>58.766701328120959</v>
      </c>
      <c r="E10" s="103">
        <v>31.528496330095589</v>
      </c>
      <c r="F10" s="104">
        <v>244.38389417533261</v>
      </c>
      <c r="G10" s="104">
        <v>340.19999999999993</v>
      </c>
      <c r="H10" s="104">
        <v>49.587579615161744</v>
      </c>
      <c r="I10" s="103">
        <v>6.6568729268986182</v>
      </c>
      <c r="J10" s="104">
        <v>48.567342558741302</v>
      </c>
      <c r="K10" s="104">
        <v>807.03000000000009</v>
      </c>
      <c r="L10" s="104">
        <v>62.231770802520792</v>
      </c>
      <c r="M10" s="103">
        <v>24.871623403196971</v>
      </c>
      <c r="N10" s="104">
        <v>195.81655161659131</v>
      </c>
      <c r="O10" s="103">
        <v>1.9054463492416396</v>
      </c>
      <c r="P10" s="105">
        <v>1.647422454132915</v>
      </c>
      <c r="Q10" s="105">
        <v>1.4115180208160931</v>
      </c>
      <c r="R10" s="103">
        <v>20.418166473065998</v>
      </c>
      <c r="S10" s="103">
        <v>10.409227571604669</v>
      </c>
      <c r="T10" s="106">
        <v>291.45837200493071</v>
      </c>
      <c r="U10" s="104">
        <v>85.787001350832767</v>
      </c>
      <c r="V10" s="103">
        <v>29.65403624382207</v>
      </c>
      <c r="W10" s="103">
        <v>3.7825950034865112</v>
      </c>
    </row>
    <row r="11" spans="1:27">
      <c r="A11" s="100">
        <v>34</v>
      </c>
      <c r="B11" s="23">
        <v>20.1490738220214</v>
      </c>
      <c r="C11" s="24">
        <v>804.87</v>
      </c>
      <c r="D11" s="24">
        <v>73.66444889797063</v>
      </c>
      <c r="E11" s="23">
        <v>34.75615812799446</v>
      </c>
      <c r="F11" s="24">
        <v>318.32555045498731</v>
      </c>
      <c r="G11" s="24">
        <v>182.33999999999992</v>
      </c>
      <c r="H11" s="24">
        <v>63.507668278243699</v>
      </c>
      <c r="I11" s="23">
        <v>5.8522709061380667</v>
      </c>
      <c r="J11" s="24">
        <v>52.007365921214671</v>
      </c>
      <c r="K11" s="24">
        <v>622.53000000000009</v>
      </c>
      <c r="L11" s="24">
        <v>76.384091305813413</v>
      </c>
      <c r="M11" s="23">
        <v>28.903887221856394</v>
      </c>
      <c r="N11" s="24">
        <v>266.31818453377264</v>
      </c>
      <c r="O11" s="23">
        <v>1.8317737921325612</v>
      </c>
      <c r="P11" s="21">
        <v>1.4687135743182889</v>
      </c>
      <c r="Q11" s="21">
        <v>1.4531482149308264</v>
      </c>
      <c r="R11" s="23">
        <v>20.186498222769</v>
      </c>
      <c r="S11" s="23">
        <v>12.175510907156667</v>
      </c>
      <c r="T11" s="89">
        <v>413.96737084332671</v>
      </c>
      <c r="U11" s="24">
        <v>82.870897871221018</v>
      </c>
      <c r="V11" s="23">
        <v>22.654590182265451</v>
      </c>
      <c r="W11" s="23">
        <v>4.3067983856706382</v>
      </c>
    </row>
    <row r="12" spans="1:27">
      <c r="A12" s="102">
        <v>40</v>
      </c>
      <c r="B12" s="103">
        <v>22.916097963333101</v>
      </c>
      <c r="C12" s="104">
        <v>620.81999999999994</v>
      </c>
      <c r="D12" s="104">
        <v>87.37473405860878</v>
      </c>
      <c r="E12" s="103">
        <v>37.716168667766127</v>
      </c>
      <c r="F12" s="104">
        <v>387.43717387038663</v>
      </c>
      <c r="G12" s="104">
        <v>126.71999999999991</v>
      </c>
      <c r="H12" s="104">
        <v>76.944063581364432</v>
      </c>
      <c r="I12" s="103">
        <v>5.9701540485959939</v>
      </c>
      <c r="J12" s="104">
        <v>60.345144237348904</v>
      </c>
      <c r="K12" s="104">
        <v>494.1</v>
      </c>
      <c r="L12" s="104">
        <v>89.854971551015723</v>
      </c>
      <c r="M12" s="103">
        <v>31.746014619170133</v>
      </c>
      <c r="N12" s="104">
        <v>327.09202963303773</v>
      </c>
      <c r="O12" s="103">
        <v>1.7851574075296313</v>
      </c>
      <c r="P12" s="105">
        <v>1.3196825393529454</v>
      </c>
      <c r="Q12" s="105">
        <v>1.4554830188389458</v>
      </c>
      <c r="R12" s="103">
        <v>19.438798310292441</v>
      </c>
      <c r="S12" s="103">
        <v>13.377159004498518</v>
      </c>
      <c r="T12" s="106">
        <v>535.0863601799407</v>
      </c>
      <c r="U12" s="104">
        <v>80.121382009093168</v>
      </c>
      <c r="V12" s="103">
        <v>20.411713540156555</v>
      </c>
      <c r="W12" s="103">
        <v>4.8342294217370876</v>
      </c>
    </row>
    <row r="13" spans="1:27">
      <c r="A13" s="100">
        <v>46</v>
      </c>
      <c r="B13" s="23">
        <v>25.335677654266298</v>
      </c>
      <c r="C13" s="24">
        <v>492.84000000000003</v>
      </c>
      <c r="D13" s="24">
        <v>100.56591599619351</v>
      </c>
      <c r="E13" s="23">
        <v>39.664109855287805</v>
      </c>
      <c r="F13" s="24">
        <v>443.72481949479237</v>
      </c>
      <c r="G13" s="24">
        <v>98.100000000000023</v>
      </c>
      <c r="H13" s="24">
        <v>90.318179261862483</v>
      </c>
      <c r="I13" s="23">
        <v>6.3680943799600271</v>
      </c>
      <c r="J13" s="24">
        <v>70.689868484087697</v>
      </c>
      <c r="K13" s="24">
        <v>394.74</v>
      </c>
      <c r="L13" s="24">
        <v>102.95453845020992</v>
      </c>
      <c r="M13" s="23">
        <v>33.296015475327778</v>
      </c>
      <c r="N13" s="24">
        <v>373.03495101070467</v>
      </c>
      <c r="O13" s="23">
        <v>1.7668637754790477</v>
      </c>
      <c r="P13" s="21">
        <v>1.1878104230721303</v>
      </c>
      <c r="Q13" s="21">
        <v>1.4377699128190327</v>
      </c>
      <c r="R13" s="23">
        <v>18.320963150628302</v>
      </c>
      <c r="S13" s="23">
        <v>14.167807609602074</v>
      </c>
      <c r="T13" s="89">
        <v>651.71915004169534</v>
      </c>
      <c r="U13" s="24">
        <v>77.310218656222617</v>
      </c>
      <c r="V13" s="23">
        <v>19.905040175310447</v>
      </c>
      <c r="W13" s="23">
        <v>5.4085284155215518</v>
      </c>
      <c r="Y13" s="16"/>
      <c r="AA13" s="16"/>
    </row>
    <row r="14" spans="1:27">
      <c r="A14" s="102">
        <v>52</v>
      </c>
      <c r="B14" s="103">
        <v>27.445912200927701</v>
      </c>
      <c r="C14" s="104">
        <v>393.93</v>
      </c>
      <c r="D14" s="104">
        <v>113.55572110308421</v>
      </c>
      <c r="E14" s="103">
        <v>40.42287801376056</v>
      </c>
      <c r="F14" s="104">
        <v>482.96072991447448</v>
      </c>
      <c r="G14" s="104">
        <v>67.409999999999968</v>
      </c>
      <c r="H14" s="104">
        <v>103.6493009364325</v>
      </c>
      <c r="I14" s="103">
        <v>5.7629813985521068</v>
      </c>
      <c r="J14" s="104">
        <v>68.682171158360063</v>
      </c>
      <c r="K14" s="104">
        <v>326.52000000000004</v>
      </c>
      <c r="L14" s="104">
        <v>115.4951293461032</v>
      </c>
      <c r="M14" s="103">
        <v>34.659896615208453</v>
      </c>
      <c r="N14" s="104">
        <v>414.27855875611442</v>
      </c>
      <c r="O14" s="103">
        <v>1.7432071791274713</v>
      </c>
      <c r="P14" s="105">
        <v>1.0841737296991951</v>
      </c>
      <c r="Q14" s="105">
        <v>1.4089284332328518</v>
      </c>
      <c r="R14" s="103">
        <v>17.290025531205135</v>
      </c>
      <c r="S14" s="103">
        <v>14.647017864335869</v>
      </c>
      <c r="T14" s="106">
        <v>761.64492894546515</v>
      </c>
      <c r="U14" s="104">
        <v>74.655854865635618</v>
      </c>
      <c r="V14" s="103">
        <v>17.112177290381531</v>
      </c>
      <c r="W14" s="103">
        <v>5.9467514924618508</v>
      </c>
      <c r="Y14" s="16"/>
    </row>
    <row r="15" spans="1:27">
      <c r="A15" s="100">
        <v>58</v>
      </c>
      <c r="B15" s="23">
        <v>29.294639522552401</v>
      </c>
      <c r="C15" s="24">
        <v>326.07</v>
      </c>
      <c r="D15" s="24">
        <v>125.95437242086803</v>
      </c>
      <c r="E15" s="23">
        <v>41.164938993403624</v>
      </c>
      <c r="F15" s="24">
        <v>518.01871194334524</v>
      </c>
      <c r="G15" s="24">
        <v>49.319999999999993</v>
      </c>
      <c r="H15" s="24">
        <v>115.86854058819087</v>
      </c>
      <c r="I15" s="23">
        <v>5.2691950803248133</v>
      </c>
      <c r="J15" s="24">
        <v>66.331732902835427</v>
      </c>
      <c r="K15" s="24">
        <v>276.75</v>
      </c>
      <c r="L15" s="24">
        <v>127.66815915263598</v>
      </c>
      <c r="M15" s="23">
        <v>35.89574391307881</v>
      </c>
      <c r="N15" s="24">
        <v>451.68697904050981</v>
      </c>
      <c r="O15" s="23">
        <v>1.7243398716919625</v>
      </c>
      <c r="P15" s="21">
        <v>1.0021143482000998</v>
      </c>
      <c r="Q15" s="21">
        <v>1.3753331190741973</v>
      </c>
      <c r="R15" s="23">
        <v>16.384622064013048</v>
      </c>
      <c r="S15" s="23">
        <v>14.920432450563723</v>
      </c>
      <c r="T15" s="89">
        <v>865.38508213269597</v>
      </c>
      <c r="U15" s="24">
        <v>72.086748116718368</v>
      </c>
      <c r="V15" s="23">
        <v>15.125586530499584</v>
      </c>
      <c r="W15" s="23">
        <v>6.4593805190129379</v>
      </c>
      <c r="Y15" s="16"/>
    </row>
    <row r="16" spans="1:27">
      <c r="A16" s="102">
        <v>64</v>
      </c>
      <c r="B16" s="103">
        <v>30.926490205764701</v>
      </c>
      <c r="C16" s="104">
        <v>276.48</v>
      </c>
      <c r="D16" s="104">
        <v>138.01419838278775</v>
      </c>
      <c r="E16" s="103">
        <v>41.90843000227941</v>
      </c>
      <c r="F16" s="104">
        <v>549.9947114245881</v>
      </c>
      <c r="G16" s="104">
        <v>37.620000000000033</v>
      </c>
      <c r="H16" s="104">
        <v>127.64698517615977</v>
      </c>
      <c r="I16" s="103">
        <v>4.8778680819713358</v>
      </c>
      <c r="J16" s="104">
        <v>64.161369745962304</v>
      </c>
      <c r="K16" s="104">
        <v>238.85999999999999</v>
      </c>
      <c r="L16" s="104">
        <v>139.57684239198801</v>
      </c>
      <c r="M16" s="103">
        <v>37.030561920308074</v>
      </c>
      <c r="N16" s="104">
        <v>485.8333416786258</v>
      </c>
      <c r="O16" s="103">
        <v>1.708444223109737</v>
      </c>
      <c r="P16" s="105">
        <v>0.93980861852576913</v>
      </c>
      <c r="Q16" s="105">
        <v>1.3403438593047508</v>
      </c>
      <c r="R16" s="103">
        <v>15.653383354781406</v>
      </c>
      <c r="S16" s="103">
        <v>15.057700226824597</v>
      </c>
      <c r="T16" s="106">
        <v>963.69281451677421</v>
      </c>
      <c r="U16" s="104">
        <v>69.609279567227247</v>
      </c>
      <c r="V16" s="103">
        <v>13.606770833333345</v>
      </c>
      <c r="W16" s="103">
        <v>6.952851762674725</v>
      </c>
      <c r="Y16" s="16"/>
    </row>
    <row r="17" spans="1:25">
      <c r="A17" s="100">
        <v>70</v>
      </c>
      <c r="B17" s="23">
        <v>32.381280857086097</v>
      </c>
      <c r="C17" s="24">
        <v>238.85999999999999</v>
      </c>
      <c r="D17" s="24">
        <v>149.82750773064643</v>
      </c>
      <c r="E17" s="23">
        <v>42.669413631462689</v>
      </c>
      <c r="F17" s="24">
        <v>579.75364180731424</v>
      </c>
      <c r="G17" s="24">
        <v>29.159999999999968</v>
      </c>
      <c r="H17" s="24">
        <v>140.8794153965363</v>
      </c>
      <c r="I17" s="23">
        <v>4.6054570575812406</v>
      </c>
      <c r="J17" s="24">
        <v>62.866668460067103</v>
      </c>
      <c r="K17" s="24">
        <v>209.70000000000002</v>
      </c>
      <c r="L17" s="24">
        <v>151.02981185977495</v>
      </c>
      <c r="M17" s="23">
        <v>38.063956573881448</v>
      </c>
      <c r="N17" s="24">
        <v>516.88697334724714</v>
      </c>
      <c r="O17" s="23">
        <v>1.6996369797847894</v>
      </c>
      <c r="P17" s="21">
        <v>0.88564064750892035</v>
      </c>
      <c r="Q17" s="21">
        <v>1.3060122672379808</v>
      </c>
      <c r="R17" s="23">
        <v>14.982255942923095</v>
      </c>
      <c r="S17" s="23">
        <v>15.108758780649467</v>
      </c>
      <c r="T17" s="89">
        <v>1057.6131146454627</v>
      </c>
      <c r="U17" s="24">
        <v>67.356764073109318</v>
      </c>
      <c r="V17" s="23">
        <v>12.207987942727945</v>
      </c>
      <c r="W17" s="23">
        <v>7.420539290118171</v>
      </c>
      <c r="Y17" s="16"/>
    </row>
    <row r="18" spans="1:25">
      <c r="A18" s="102">
        <v>76</v>
      </c>
      <c r="B18" s="103">
        <v>33.687719772338802</v>
      </c>
      <c r="C18" s="104">
        <v>209.70000000000002</v>
      </c>
      <c r="D18" s="104">
        <v>161.22763373848369</v>
      </c>
      <c r="E18" s="103">
        <v>43.377800458934971</v>
      </c>
      <c r="F18" s="104">
        <v>606.7805090047857</v>
      </c>
      <c r="G18" s="104">
        <v>23.490000000000009</v>
      </c>
      <c r="H18" s="104">
        <v>152.51355757451228</v>
      </c>
      <c r="I18" s="103">
        <v>4.3480052128816169</v>
      </c>
      <c r="J18" s="104">
        <v>61.235400749831115</v>
      </c>
      <c r="K18" s="104">
        <v>186.21</v>
      </c>
      <c r="L18" s="104">
        <v>162.29366522383975</v>
      </c>
      <c r="M18" s="103">
        <v>39.029795246053354</v>
      </c>
      <c r="N18" s="104">
        <v>545.54510825495458</v>
      </c>
      <c r="O18" s="103">
        <v>1.6954123795514893</v>
      </c>
      <c r="P18" s="105">
        <v>0.84101122406599416</v>
      </c>
      <c r="Q18" s="105">
        <v>1.2728250341014762</v>
      </c>
      <c r="R18" s="103">
        <v>14.413678705911915</v>
      </c>
      <c r="S18" s="103">
        <v>15.098771714513173</v>
      </c>
      <c r="T18" s="106">
        <v>1147.5066503030012</v>
      </c>
      <c r="U18" s="104">
        <v>65.210858850838932</v>
      </c>
      <c r="V18" s="103">
        <v>11.201716738197428</v>
      </c>
      <c r="W18" s="103">
        <v>7.8746848869394128</v>
      </c>
      <c r="Y18" s="16"/>
    </row>
    <row r="19" spans="1:25">
      <c r="A19" s="100">
        <v>82</v>
      </c>
      <c r="B19" s="23">
        <v>34.872846607208203</v>
      </c>
      <c r="C19" s="24">
        <v>186.21</v>
      </c>
      <c r="D19" s="24">
        <v>172.46613950114869</v>
      </c>
      <c r="E19" s="23">
        <v>44.075862590449319</v>
      </c>
      <c r="F19" s="24">
        <v>632.02718049042608</v>
      </c>
      <c r="G19" s="24">
        <v>19.53</v>
      </c>
      <c r="H19" s="24">
        <v>162.49671238878506</v>
      </c>
      <c r="I19" s="23">
        <v>4.1037560585037838</v>
      </c>
      <c r="J19" s="24">
        <v>59.215064511515493</v>
      </c>
      <c r="K19" s="24">
        <v>166.68</v>
      </c>
      <c r="L19" s="24">
        <v>173.59679555576568</v>
      </c>
      <c r="M19" s="23">
        <v>39.972106531945535</v>
      </c>
      <c r="N19" s="24">
        <v>572.81211597891058</v>
      </c>
      <c r="O19" s="23">
        <v>1.696050724511835</v>
      </c>
      <c r="P19" s="21">
        <v>0.80395257324901459</v>
      </c>
      <c r="Q19" s="21">
        <v>1.2412289016598557</v>
      </c>
      <c r="R19" s="23">
        <v>13.940187780734258</v>
      </c>
      <c r="S19" s="23">
        <v>15.048642957786253</v>
      </c>
      <c r="T19" s="89">
        <v>1233.9887225384728</v>
      </c>
      <c r="U19" s="24">
        <v>63.109620405277312</v>
      </c>
      <c r="V19" s="23">
        <v>10.488158530691155</v>
      </c>
      <c r="W19" s="23">
        <v>8.3232499772348785</v>
      </c>
      <c r="Y19" s="16"/>
    </row>
    <row r="20" spans="1:25">
      <c r="A20" s="107">
        <v>88</v>
      </c>
      <c r="B20" s="108">
        <v>35.9738712730407</v>
      </c>
      <c r="C20" s="109">
        <v>166.68</v>
      </c>
      <c r="D20" s="109">
        <v>183.77309990283669</v>
      </c>
      <c r="E20" s="108">
        <v>44.795821971439622</v>
      </c>
      <c r="F20" s="109">
        <v>656.45324266331613</v>
      </c>
      <c r="G20" s="109">
        <v>166.68</v>
      </c>
      <c r="H20" s="109">
        <v>183.77309990283669</v>
      </c>
      <c r="I20" s="108">
        <v>44.795821971439622</v>
      </c>
      <c r="J20" s="109">
        <v>656.45324266331613</v>
      </c>
      <c r="K20" s="109" t="s">
        <v>27</v>
      </c>
      <c r="L20" s="109" t="s">
        <v>27</v>
      </c>
      <c r="M20" s="108" t="s">
        <v>27</v>
      </c>
      <c r="N20" s="109" t="s">
        <v>27</v>
      </c>
      <c r="O20" s="108" t="s">
        <v>27</v>
      </c>
      <c r="P20" s="110" t="s">
        <v>27</v>
      </c>
      <c r="Q20" s="110">
        <v>1.2114146065409346</v>
      </c>
      <c r="R20" s="108" t="s">
        <v>27</v>
      </c>
      <c r="S20" s="108">
        <v>14.9730664684418</v>
      </c>
      <c r="T20" s="111">
        <v>1317.6298492228784</v>
      </c>
      <c r="U20" s="109">
        <v>61.497166762884369</v>
      </c>
      <c r="V20" s="112" t="s">
        <v>27</v>
      </c>
      <c r="W20" s="113" t="s">
        <v>27</v>
      </c>
    </row>
    <row r="22" spans="1:25">
      <c r="A22" s="12" t="s">
        <v>32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 spans="1:25" ht="15" customHeight="1">
      <c r="A23" s="187" t="s">
        <v>1</v>
      </c>
      <c r="B23" s="187" t="s">
        <v>2</v>
      </c>
      <c r="C23" s="189" t="s">
        <v>33</v>
      </c>
      <c r="D23" s="190"/>
      <c r="E23" s="190"/>
      <c r="F23" s="190"/>
      <c r="G23" s="190"/>
      <c r="H23" s="190"/>
      <c r="I23" s="190"/>
      <c r="J23" s="191"/>
      <c r="K23" s="189" t="s">
        <v>105</v>
      </c>
      <c r="L23" s="191"/>
      <c r="M23" s="189" t="s">
        <v>34</v>
      </c>
      <c r="N23" s="190"/>
      <c r="O23" s="190"/>
      <c r="P23" s="190"/>
      <c r="Q23" s="190"/>
      <c r="R23" s="190"/>
      <c r="S23" s="190"/>
      <c r="T23" s="191"/>
      <c r="U23" s="189" t="s">
        <v>106</v>
      </c>
      <c r="V23" s="191"/>
      <c r="W23" s="193" t="s">
        <v>113</v>
      </c>
    </row>
    <row r="24" spans="1:25">
      <c r="A24" s="188"/>
      <c r="B24" s="188"/>
      <c r="C24" s="96" t="s">
        <v>19</v>
      </c>
      <c r="D24" s="96" t="s">
        <v>20</v>
      </c>
      <c r="E24" s="96" t="s">
        <v>21</v>
      </c>
      <c r="F24" s="96" t="s">
        <v>22</v>
      </c>
      <c r="G24" s="96" t="s">
        <v>23</v>
      </c>
      <c r="H24" s="96" t="s">
        <v>24</v>
      </c>
      <c r="I24" s="96" t="s">
        <v>25</v>
      </c>
      <c r="J24" s="96" t="s">
        <v>26</v>
      </c>
      <c r="K24" s="129" t="s">
        <v>105</v>
      </c>
      <c r="L24" s="129" t="s">
        <v>107</v>
      </c>
      <c r="M24" s="96" t="s">
        <v>19</v>
      </c>
      <c r="N24" s="96" t="s">
        <v>20</v>
      </c>
      <c r="O24" s="96" t="s">
        <v>21</v>
      </c>
      <c r="P24" s="96" t="s">
        <v>22</v>
      </c>
      <c r="Q24" s="96" t="s">
        <v>23</v>
      </c>
      <c r="R24" s="96" t="s">
        <v>24</v>
      </c>
      <c r="S24" s="96" t="s">
        <v>25</v>
      </c>
      <c r="T24" s="96" t="s">
        <v>26</v>
      </c>
      <c r="U24" s="134" t="s">
        <v>106</v>
      </c>
      <c r="V24" s="134" t="s">
        <v>107</v>
      </c>
      <c r="W24" s="194"/>
    </row>
    <row r="25" spans="1:25" s="95" customFormat="1" ht="12">
      <c r="A25" s="92" t="s">
        <v>65</v>
      </c>
      <c r="B25" s="92" t="s">
        <v>66</v>
      </c>
      <c r="C25" s="92" t="s">
        <v>70</v>
      </c>
      <c r="D25" s="92" t="s">
        <v>70</v>
      </c>
      <c r="E25" s="92" t="s">
        <v>70</v>
      </c>
      <c r="F25" s="92" t="s">
        <v>70</v>
      </c>
      <c r="G25" s="92" t="s">
        <v>70</v>
      </c>
      <c r="H25" s="92" t="s">
        <v>70</v>
      </c>
      <c r="I25" s="92" t="s">
        <v>70</v>
      </c>
      <c r="J25" s="92" t="s">
        <v>70</v>
      </c>
      <c r="K25" s="92" t="s">
        <v>75</v>
      </c>
      <c r="L25" s="92" t="s">
        <v>75</v>
      </c>
      <c r="M25" s="92" t="s">
        <v>70</v>
      </c>
      <c r="N25" s="92" t="s">
        <v>70</v>
      </c>
      <c r="O25" s="92" t="s">
        <v>70</v>
      </c>
      <c r="P25" s="92" t="s">
        <v>70</v>
      </c>
      <c r="Q25" s="92" t="s">
        <v>70</v>
      </c>
      <c r="R25" s="92" t="s">
        <v>70</v>
      </c>
      <c r="S25" s="92" t="s">
        <v>70</v>
      </c>
      <c r="T25" s="92" t="s">
        <v>70</v>
      </c>
      <c r="U25" s="92" t="s">
        <v>75</v>
      </c>
      <c r="V25" s="92" t="s">
        <v>75</v>
      </c>
      <c r="W25" s="92" t="s">
        <v>75</v>
      </c>
    </row>
    <row r="26" spans="1:25">
      <c r="A26" s="87">
        <v>22</v>
      </c>
      <c r="B26" s="23">
        <v>13.4845451726913</v>
      </c>
      <c r="C26" s="24">
        <v>33.175991616825208</v>
      </c>
      <c r="D26" s="24">
        <v>113.69306099726495</v>
      </c>
      <c r="E26" s="24">
        <v>24.685749176575836</v>
      </c>
      <c r="F26" s="24">
        <v>0</v>
      </c>
      <c r="G26" s="24">
        <v>0</v>
      </c>
      <c r="H26" s="24">
        <v>0</v>
      </c>
      <c r="I26" s="24">
        <v>0</v>
      </c>
      <c r="J26" s="24">
        <v>0</v>
      </c>
      <c r="K26" s="88">
        <v>5199.4385618404722</v>
      </c>
      <c r="L26" s="88">
        <v>3363.1998273502741</v>
      </c>
      <c r="M26" s="25">
        <v>13.23643903309212</v>
      </c>
      <c r="N26" s="25">
        <v>27.711818661465891</v>
      </c>
      <c r="O26" s="25">
        <v>5.8320853508349657</v>
      </c>
      <c r="P26" s="25">
        <v>0</v>
      </c>
      <c r="Q26" s="25">
        <v>0</v>
      </c>
      <c r="R26" s="25">
        <v>0</v>
      </c>
      <c r="S26" s="25">
        <v>0</v>
      </c>
      <c r="T26" s="25">
        <v>0</v>
      </c>
      <c r="U26" s="88">
        <v>950.62839965349428</v>
      </c>
      <c r="V26" s="88">
        <v>614.90355767511676</v>
      </c>
      <c r="W26" s="89">
        <v>3363.1998273502741</v>
      </c>
    </row>
    <row r="27" spans="1:25">
      <c r="A27" s="114">
        <v>28</v>
      </c>
      <c r="B27" s="103">
        <v>16.993536701202299</v>
      </c>
      <c r="C27" s="104">
        <v>6.5812521629892275</v>
      </c>
      <c r="D27" s="104">
        <v>100.71705404393649</v>
      </c>
      <c r="E27" s="104">
        <v>74.455789364751581</v>
      </c>
      <c r="F27" s="104">
        <v>62.440594087761831</v>
      </c>
      <c r="G27" s="104">
        <v>0</v>
      </c>
      <c r="H27" s="104">
        <v>0</v>
      </c>
      <c r="I27" s="104">
        <v>0</v>
      </c>
      <c r="J27" s="104">
        <v>0</v>
      </c>
      <c r="K27" s="115">
        <v>9711.2023091195497</v>
      </c>
      <c r="L27" s="115">
        <v>5577.8674843705239</v>
      </c>
      <c r="M27" s="116">
        <v>5.4402930649863395</v>
      </c>
      <c r="N27" s="116">
        <v>29.345006950919537</v>
      </c>
      <c r="O27" s="116">
        <v>7.9061199566738125</v>
      </c>
      <c r="P27" s="116">
        <v>5.6867180702675535</v>
      </c>
      <c r="Q27" s="116">
        <v>0</v>
      </c>
      <c r="R27" s="116">
        <v>0</v>
      </c>
      <c r="S27" s="116">
        <v>0</v>
      </c>
      <c r="T27" s="116">
        <v>0</v>
      </c>
      <c r="U27" s="115">
        <v>1266.8903291068721</v>
      </c>
      <c r="V27" s="115">
        <v>727.66956634737949</v>
      </c>
      <c r="W27" s="106">
        <v>6192.7710420456406</v>
      </c>
    </row>
    <row r="28" spans="1:25">
      <c r="A28" s="87">
        <v>34</v>
      </c>
      <c r="B28" s="23">
        <v>20.1490738220214</v>
      </c>
      <c r="C28" s="24">
        <v>0.28303473263732137</v>
      </c>
      <c r="D28" s="24">
        <v>31.261932400627195</v>
      </c>
      <c r="E28" s="24">
        <v>75.53361536996519</v>
      </c>
      <c r="F28" s="24">
        <v>173.67146289276778</v>
      </c>
      <c r="G28" s="24">
        <v>37.298889402678981</v>
      </c>
      <c r="H28" s="24">
        <v>0</v>
      </c>
      <c r="I28" s="24">
        <v>0</v>
      </c>
      <c r="J28" s="24">
        <v>0</v>
      </c>
      <c r="K28" s="88">
        <v>15550.046965193636</v>
      </c>
      <c r="L28" s="88">
        <v>7930.9619290633736</v>
      </c>
      <c r="M28" s="25">
        <v>0.28303473263732137</v>
      </c>
      <c r="N28" s="25">
        <v>18.635223340828105</v>
      </c>
      <c r="O28" s="25">
        <v>16.65075042833654</v>
      </c>
      <c r="P28" s="25">
        <v>12.865848308286585</v>
      </c>
      <c r="Q28" s="25">
        <v>3.2958934548146863</v>
      </c>
      <c r="R28" s="25">
        <v>0</v>
      </c>
      <c r="S28" s="25">
        <v>0</v>
      </c>
      <c r="T28" s="25">
        <v>0</v>
      </c>
      <c r="U28" s="88">
        <v>1882.3030591903853</v>
      </c>
      <c r="V28" s="88">
        <v>960.02757643198993</v>
      </c>
      <c r="W28" s="89">
        <v>9273.5350530858705</v>
      </c>
    </row>
    <row r="29" spans="1:25">
      <c r="A29" s="114">
        <v>40</v>
      </c>
      <c r="B29" s="103">
        <v>22.916097963333101</v>
      </c>
      <c r="C29" s="104">
        <v>0</v>
      </c>
      <c r="D29" s="104">
        <v>2.5604853755008858</v>
      </c>
      <c r="E29" s="104">
        <v>20.660385556656941</v>
      </c>
      <c r="F29" s="104">
        <v>195.07526883218063</v>
      </c>
      <c r="G29" s="104">
        <v>168.89112211482285</v>
      </c>
      <c r="H29" s="104">
        <v>0</v>
      </c>
      <c r="I29" s="104">
        <v>0</v>
      </c>
      <c r="J29" s="104">
        <v>0</v>
      </c>
      <c r="K29" s="115">
        <v>21853.408313932767</v>
      </c>
      <c r="L29" s="115">
        <v>9897.1991645095095</v>
      </c>
      <c r="M29" s="116">
        <v>0</v>
      </c>
      <c r="N29" s="116">
        <v>2.359799555741692</v>
      </c>
      <c r="O29" s="116">
        <v>13.064343917100347</v>
      </c>
      <c r="P29" s="116">
        <v>33.405289987569205</v>
      </c>
      <c r="Q29" s="116">
        <v>11.265798785713319</v>
      </c>
      <c r="R29" s="116">
        <v>0</v>
      </c>
      <c r="S29" s="116">
        <v>0</v>
      </c>
      <c r="T29" s="116">
        <v>0</v>
      </c>
      <c r="U29" s="115">
        <v>2714.7797011689136</v>
      </c>
      <c r="V29" s="115">
        <v>1229.4977059988414</v>
      </c>
      <c r="W29" s="106">
        <v>12199.799864963996</v>
      </c>
    </row>
    <row r="30" spans="1:25">
      <c r="A30" s="87">
        <v>46</v>
      </c>
      <c r="B30" s="23">
        <v>25.335677654266298</v>
      </c>
      <c r="C30" s="24">
        <v>0</v>
      </c>
      <c r="D30" s="24">
        <v>0</v>
      </c>
      <c r="E30" s="24">
        <v>0.78399922276705325</v>
      </c>
      <c r="F30" s="24">
        <v>84.760192436030593</v>
      </c>
      <c r="G30" s="24">
        <v>337.03486999860695</v>
      </c>
      <c r="H30" s="24">
        <v>20.887193869840853</v>
      </c>
      <c r="I30" s="24">
        <v>0</v>
      </c>
      <c r="J30" s="24">
        <v>0</v>
      </c>
      <c r="K30" s="88">
        <v>27832.949221520859</v>
      </c>
      <c r="L30" s="88">
        <v>11193.124289303069</v>
      </c>
      <c r="M30" s="25">
        <v>0</v>
      </c>
      <c r="N30" s="25">
        <v>0</v>
      </c>
      <c r="O30" s="25">
        <v>0.78399922276705325</v>
      </c>
      <c r="P30" s="25">
        <v>40.129393488067223</v>
      </c>
      <c r="Q30" s="25">
        <v>28.129768646232634</v>
      </c>
      <c r="R30" s="25">
        <v>1.3881431594749156</v>
      </c>
      <c r="S30" s="25">
        <v>0</v>
      </c>
      <c r="T30" s="25">
        <v>0</v>
      </c>
      <c r="U30" s="88">
        <v>3734.6539757754194</v>
      </c>
      <c r="V30" s="88">
        <v>1501.9050189647826</v>
      </c>
      <c r="W30" s="89">
        <v>14725.222695756396</v>
      </c>
    </row>
    <row r="31" spans="1:25">
      <c r="A31" s="114">
        <v>52</v>
      </c>
      <c r="B31" s="103">
        <v>27.445912200927701</v>
      </c>
      <c r="C31" s="104">
        <v>0</v>
      </c>
      <c r="D31" s="104">
        <v>0</v>
      </c>
      <c r="E31" s="104">
        <v>0</v>
      </c>
      <c r="F31" s="104">
        <v>6.2920521403170389</v>
      </c>
      <c r="G31" s="104">
        <v>343.70469510783994</v>
      </c>
      <c r="H31" s="104">
        <v>132.71411326334169</v>
      </c>
      <c r="I31" s="104">
        <v>0</v>
      </c>
      <c r="J31" s="104">
        <v>0</v>
      </c>
      <c r="K31" s="115">
        <v>32804.704048013853</v>
      </c>
      <c r="L31" s="115">
        <v>11714.592674702382</v>
      </c>
      <c r="M31" s="116">
        <v>0</v>
      </c>
      <c r="N31" s="116">
        <v>0</v>
      </c>
      <c r="O31" s="116">
        <v>0</v>
      </c>
      <c r="P31" s="116">
        <v>5.1887986778728976</v>
      </c>
      <c r="Q31" s="116">
        <v>57.073622342573394</v>
      </c>
      <c r="R31" s="116">
        <v>6.1698807349383982</v>
      </c>
      <c r="S31" s="116">
        <v>0</v>
      </c>
      <c r="T31" s="116">
        <v>0</v>
      </c>
      <c r="U31" s="115">
        <v>4076.5833264758116</v>
      </c>
      <c r="V31" s="115">
        <v>1455.751989234567</v>
      </c>
      <c r="W31" s="106">
        <v>16748.596100120492</v>
      </c>
    </row>
    <row r="32" spans="1:25">
      <c r="A32" s="87">
        <v>58</v>
      </c>
      <c r="B32" s="23">
        <v>29.294639522552401</v>
      </c>
      <c r="C32" s="24">
        <v>0</v>
      </c>
      <c r="D32" s="24">
        <v>0</v>
      </c>
      <c r="E32" s="24">
        <v>0</v>
      </c>
      <c r="F32" s="24">
        <v>0</v>
      </c>
      <c r="G32" s="24">
        <v>192.60327375419382</v>
      </c>
      <c r="H32" s="24">
        <v>325.17550121005843</v>
      </c>
      <c r="I32" s="24">
        <v>0</v>
      </c>
      <c r="J32" s="24">
        <v>0</v>
      </c>
      <c r="K32" s="88">
        <v>37232.735730385335</v>
      </c>
      <c r="L32" s="88">
        <v>11806.331836706542</v>
      </c>
      <c r="M32" s="25">
        <v>0</v>
      </c>
      <c r="N32" s="25">
        <v>0</v>
      </c>
      <c r="O32" s="25">
        <v>0</v>
      </c>
      <c r="P32" s="25">
        <v>0</v>
      </c>
      <c r="Q32" s="25">
        <v>50.573002342286529</v>
      </c>
      <c r="R32" s="25">
        <v>15.518793581455947</v>
      </c>
      <c r="S32" s="25">
        <v>0</v>
      </c>
      <c r="T32" s="25">
        <v>0</v>
      </c>
      <c r="U32" s="88">
        <v>4250.1261155479615</v>
      </c>
      <c r="V32" s="88">
        <v>1347.6957382710295</v>
      </c>
      <c r="W32" s="89">
        <v>18296.087251359218</v>
      </c>
    </row>
    <row r="33" spans="1:25">
      <c r="A33" s="114">
        <v>64</v>
      </c>
      <c r="B33" s="103">
        <v>30.926490205764701</v>
      </c>
      <c r="C33" s="104">
        <v>0</v>
      </c>
      <c r="D33" s="104">
        <v>0</v>
      </c>
      <c r="E33" s="104">
        <v>0</v>
      </c>
      <c r="F33" s="104">
        <v>0</v>
      </c>
      <c r="G33" s="104">
        <v>27.667903042142708</v>
      </c>
      <c r="H33" s="104">
        <v>453.10258930456291</v>
      </c>
      <c r="I33" s="104">
        <v>68.99489579150729</v>
      </c>
      <c r="J33" s="104">
        <v>0</v>
      </c>
      <c r="K33" s="115">
        <v>41097.744661948942</v>
      </c>
      <c r="L33" s="115">
        <v>11571.961945795252</v>
      </c>
      <c r="M33" s="116">
        <v>0</v>
      </c>
      <c r="N33" s="116">
        <v>0</v>
      </c>
      <c r="O33" s="116">
        <v>0</v>
      </c>
      <c r="P33" s="116">
        <v>0</v>
      </c>
      <c r="Q33" s="116">
        <v>16.955316995243557</v>
      </c>
      <c r="R33" s="116">
        <v>44.854020081960599</v>
      </c>
      <c r="S33" s="116">
        <v>2.1227093823841172</v>
      </c>
      <c r="T33" s="116">
        <v>0</v>
      </c>
      <c r="U33" s="115">
        <v>4325.1287729639525</v>
      </c>
      <c r="V33" s="115">
        <v>1217.8338734422775</v>
      </c>
      <c r="W33" s="106">
        <v>19409.41309871896</v>
      </c>
    </row>
    <row r="34" spans="1:25">
      <c r="A34" s="87">
        <v>70</v>
      </c>
      <c r="B34" s="23">
        <v>32.381280857086097</v>
      </c>
      <c r="C34" s="24">
        <v>0</v>
      </c>
      <c r="D34" s="24">
        <v>0</v>
      </c>
      <c r="E34" s="24">
        <v>0</v>
      </c>
      <c r="F34" s="24">
        <v>0</v>
      </c>
      <c r="G34" s="24">
        <v>0.14054096072891589</v>
      </c>
      <c r="H34" s="24">
        <v>350.80080937528061</v>
      </c>
      <c r="I34" s="24">
        <v>228.52976656923028</v>
      </c>
      <c r="J34" s="24">
        <v>0</v>
      </c>
      <c r="K34" s="88">
        <v>44381.633047520889</v>
      </c>
      <c r="L34" s="88">
        <v>11096.633821700652</v>
      </c>
      <c r="M34" s="25">
        <v>0</v>
      </c>
      <c r="N34" s="25">
        <v>0</v>
      </c>
      <c r="O34" s="25">
        <v>0</v>
      </c>
      <c r="P34" s="25">
        <v>0</v>
      </c>
      <c r="Q34" s="25">
        <v>0.14054096072891589</v>
      </c>
      <c r="R34" s="25">
        <v>52.692811272604011</v>
      </c>
      <c r="S34" s="25">
        <v>9.7507913246597582</v>
      </c>
      <c r="T34" s="25">
        <v>0</v>
      </c>
      <c r="U34" s="88">
        <v>4379.1826033942862</v>
      </c>
      <c r="V34" s="88">
        <v>1094.9165781303439</v>
      </c>
      <c r="W34" s="89">
        <v>20151.918848066634</v>
      </c>
    </row>
    <row r="35" spans="1:25">
      <c r="A35" s="114">
        <v>76</v>
      </c>
      <c r="B35" s="103">
        <v>33.687719772338802</v>
      </c>
      <c r="C35" s="104">
        <v>0</v>
      </c>
      <c r="D35" s="104">
        <v>0</v>
      </c>
      <c r="E35" s="104">
        <v>0</v>
      </c>
      <c r="F35" s="104">
        <v>0</v>
      </c>
      <c r="G35" s="104">
        <v>0</v>
      </c>
      <c r="H35" s="104">
        <v>138.53379647084796</v>
      </c>
      <c r="I35" s="104">
        <v>462.47625653461546</v>
      </c>
      <c r="J35" s="104">
        <v>5.4133747293656338</v>
      </c>
      <c r="K35" s="115">
        <v>46982.468071941264</v>
      </c>
      <c r="L35" s="115">
        <v>10430.923814042773</v>
      </c>
      <c r="M35" s="116">
        <v>0</v>
      </c>
      <c r="N35" s="116">
        <v>0</v>
      </c>
      <c r="O35" s="116">
        <v>0</v>
      </c>
      <c r="P35" s="116">
        <v>0</v>
      </c>
      <c r="Q35" s="116">
        <v>0</v>
      </c>
      <c r="R35" s="116">
        <v>41.875946369550356</v>
      </c>
      <c r="S35" s="116">
        <v>19.002373110323926</v>
      </c>
      <c r="T35" s="116">
        <v>0</v>
      </c>
      <c r="U35" s="115">
        <v>4310.2041996171683</v>
      </c>
      <c r="V35" s="115">
        <v>956.94018373684423</v>
      </c>
      <c r="W35" s="106">
        <v>20581.125418539101</v>
      </c>
    </row>
    <row r="36" spans="1:25">
      <c r="A36" s="87">
        <v>82</v>
      </c>
      <c r="B36" s="23">
        <v>34.872846607208203</v>
      </c>
      <c r="C36" s="24">
        <v>0</v>
      </c>
      <c r="D36" s="24">
        <v>0</v>
      </c>
      <c r="E36" s="24">
        <v>0</v>
      </c>
      <c r="F36" s="24">
        <v>0</v>
      </c>
      <c r="G36" s="24">
        <v>0</v>
      </c>
      <c r="H36" s="24">
        <v>6.3417905498128917</v>
      </c>
      <c r="I36" s="24">
        <v>505.51113513920279</v>
      </c>
      <c r="J36" s="24">
        <v>119.91262323077657</v>
      </c>
      <c r="K36" s="88">
        <v>48987.488056627037</v>
      </c>
      <c r="L36" s="88">
        <v>9657.6416367378624</v>
      </c>
      <c r="M36" s="25">
        <v>0</v>
      </c>
      <c r="N36" s="25">
        <v>0</v>
      </c>
      <c r="O36" s="25">
        <v>0</v>
      </c>
      <c r="P36" s="25">
        <v>0</v>
      </c>
      <c r="Q36" s="25">
        <v>0</v>
      </c>
      <c r="R36" s="25">
        <v>3.4972870722217797</v>
      </c>
      <c r="S36" s="25">
        <v>51.421909508323765</v>
      </c>
      <c r="T36" s="25">
        <v>4.0342363603363811</v>
      </c>
      <c r="U36" s="88">
        <v>4175.1445408463815</v>
      </c>
      <c r="V36" s="88">
        <v>823.10915208525432</v>
      </c>
      <c r="W36" s="89">
        <v>20764.783424971036</v>
      </c>
    </row>
    <row r="37" spans="1:25">
      <c r="A37" s="114">
        <v>88</v>
      </c>
      <c r="B37" s="108">
        <v>35.9738712730407</v>
      </c>
      <c r="C37" s="109">
        <v>0</v>
      </c>
      <c r="D37" s="109">
        <v>0</v>
      </c>
      <c r="E37" s="109">
        <v>0</v>
      </c>
      <c r="F37" s="109">
        <v>0</v>
      </c>
      <c r="G37" s="109">
        <v>0</v>
      </c>
      <c r="H37" s="109">
        <v>0</v>
      </c>
      <c r="I37" s="109">
        <v>338.35740905583992</v>
      </c>
      <c r="J37" s="109">
        <v>318.09583360747621</v>
      </c>
      <c r="K37" s="117">
        <v>50451.272749831951</v>
      </c>
      <c r="L37" s="117">
        <v>8831.958338034965</v>
      </c>
      <c r="M37" s="118">
        <v>0</v>
      </c>
      <c r="N37" s="118">
        <v>0</v>
      </c>
      <c r="O37" s="118">
        <v>0</v>
      </c>
      <c r="P37" s="118">
        <v>0</v>
      </c>
      <c r="Q37" s="118">
        <v>0</v>
      </c>
      <c r="R37" s="118">
        <v>0</v>
      </c>
      <c r="S37" s="118">
        <v>338.35740905583992</v>
      </c>
      <c r="T37" s="118">
        <v>318.09583360747621</v>
      </c>
      <c r="U37" s="117">
        <v>50451.272749831951</v>
      </c>
      <c r="V37" s="117">
        <v>8831.958338034965</v>
      </c>
      <c r="W37" s="111">
        <v>20762.209278353392</v>
      </c>
    </row>
    <row r="38" spans="1:25" s="10" customFormat="1">
      <c r="A38" s="26" t="s">
        <v>13</v>
      </c>
      <c r="B38" s="27" t="s">
        <v>27</v>
      </c>
      <c r="C38" s="27" t="s">
        <v>27</v>
      </c>
      <c r="D38" s="27" t="s">
        <v>27</v>
      </c>
      <c r="E38" s="27" t="s">
        <v>27</v>
      </c>
      <c r="F38" s="27" t="s">
        <v>27</v>
      </c>
      <c r="G38" s="27" t="s">
        <v>27</v>
      </c>
      <c r="H38" s="27" t="s">
        <v>27</v>
      </c>
      <c r="I38" s="27" t="s">
        <v>27</v>
      </c>
      <c r="J38" s="27" t="s">
        <v>27</v>
      </c>
      <c r="K38" s="27" t="s">
        <v>27</v>
      </c>
      <c r="L38" s="27" t="s">
        <v>27</v>
      </c>
      <c r="M38" s="26">
        <v>18.959766830715783</v>
      </c>
      <c r="N38" s="26">
        <v>78.051848508955217</v>
      </c>
      <c r="O38" s="26">
        <v>44.237298875712717</v>
      </c>
      <c r="P38" s="26">
        <v>97.276048532063456</v>
      </c>
      <c r="Q38" s="26">
        <v>167.43394352759304</v>
      </c>
      <c r="R38" s="26">
        <v>165.99688227220599</v>
      </c>
      <c r="S38" s="26">
        <v>420.65519238153149</v>
      </c>
      <c r="T38" s="26">
        <v>322.13006996781257</v>
      </c>
      <c r="U38" s="27" t="s">
        <v>27</v>
      </c>
      <c r="V38" s="90">
        <v>20762.209278353392</v>
      </c>
      <c r="W38" s="28" t="s">
        <v>27</v>
      </c>
    </row>
    <row r="39" spans="1:25">
      <c r="A39" s="17"/>
      <c r="V39" s="9"/>
    </row>
    <row r="40" spans="1:25">
      <c r="H40" s="15"/>
      <c r="I40" s="15"/>
      <c r="J40" s="15"/>
      <c r="W40" s="15" t="s">
        <v>77</v>
      </c>
    </row>
    <row r="41" spans="1:25">
      <c r="V41" s="9"/>
      <c r="W41" s="15" t="s">
        <v>78</v>
      </c>
      <c r="X41" s="9"/>
      <c r="Y41" s="9"/>
    </row>
    <row r="42" spans="1:25">
      <c r="A42" s="8"/>
      <c r="B42" s="8"/>
      <c r="C42" s="8"/>
      <c r="D42" s="8"/>
      <c r="E42" s="8"/>
      <c r="F42" s="8"/>
      <c r="G42" s="8"/>
      <c r="H42" s="8"/>
      <c r="I42" s="8"/>
      <c r="J42" s="8"/>
      <c r="V42" s="9"/>
      <c r="W42" s="15"/>
      <c r="X42" s="9"/>
      <c r="Y42" s="15"/>
    </row>
    <row r="43" spans="1:25">
      <c r="V43" s="9"/>
      <c r="W43" s="9"/>
      <c r="X43" s="9"/>
      <c r="Y43" s="9"/>
    </row>
    <row r="44" spans="1:25"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spans="1:25">
      <c r="V45" s="9"/>
      <c r="W45" s="9"/>
      <c r="X45" s="9"/>
      <c r="Y45" s="9"/>
    </row>
    <row r="46" spans="1:25">
      <c r="V46" s="9"/>
      <c r="W46" s="9"/>
      <c r="X46" s="9"/>
      <c r="Y46" s="9"/>
    </row>
  </sheetData>
  <mergeCells count="17">
    <mergeCell ref="B23:B24"/>
    <mergeCell ref="D1:T1"/>
    <mergeCell ref="A23:A24"/>
    <mergeCell ref="C23:J23"/>
    <mergeCell ref="A6:A7"/>
    <mergeCell ref="B6:B7"/>
    <mergeCell ref="C6:F6"/>
    <mergeCell ref="G6:J6"/>
    <mergeCell ref="K6:N6"/>
    <mergeCell ref="K23:L23"/>
    <mergeCell ref="W23:W24"/>
    <mergeCell ref="V6:V7"/>
    <mergeCell ref="W6:W7"/>
    <mergeCell ref="U6:U7"/>
    <mergeCell ref="M23:T23"/>
    <mergeCell ref="O6:T6"/>
    <mergeCell ref="U23:V23"/>
  </mergeCells>
  <pageMargins left="0.70866141732283472" right="0.70866141732283472" top="0.74803149606299213" bottom="0.74803149606299213" header="0.31496062992125984" footer="0.31496062992125984"/>
  <pageSetup paperSize="9" scale="7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46"/>
  <sheetViews>
    <sheetView workbookViewId="0">
      <selection activeCell="W23" sqref="W23:W24"/>
    </sheetView>
  </sheetViews>
  <sheetFormatPr baseColWidth="10" defaultRowHeight="15"/>
  <cols>
    <col min="1" max="21" width="6.7109375" style="9" customWidth="1"/>
    <col min="22" max="23" width="6.7109375" style="17" customWidth="1"/>
    <col min="24" max="16384" width="11.42578125" style="17"/>
  </cols>
  <sheetData>
    <row r="1" spans="1:27" ht="30.75" customHeight="1">
      <c r="D1" s="151" t="s">
        <v>58</v>
      </c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</row>
    <row r="2" spans="1:27">
      <c r="A2" s="12"/>
      <c r="B2" s="14"/>
      <c r="C2" s="13"/>
      <c r="D2" s="13"/>
      <c r="E2" s="13"/>
      <c r="F2" s="13"/>
      <c r="G2" s="13"/>
      <c r="H2" s="13"/>
      <c r="I2" s="13"/>
      <c r="J2" s="13"/>
      <c r="K2" s="14"/>
      <c r="L2" s="13"/>
      <c r="M2" s="13"/>
      <c r="U2" s="15"/>
      <c r="V2" s="15"/>
      <c r="W2" s="15"/>
    </row>
    <row r="3" spans="1:27">
      <c r="A3" s="12" t="s">
        <v>85</v>
      </c>
      <c r="B3" s="12"/>
      <c r="C3" s="12"/>
      <c r="D3" s="14"/>
      <c r="E3" s="14" t="s">
        <v>80</v>
      </c>
      <c r="F3" s="14"/>
      <c r="G3" s="13"/>
      <c r="H3" s="13"/>
      <c r="I3" s="14"/>
      <c r="J3" s="13"/>
      <c r="K3" s="14" t="s">
        <v>81</v>
      </c>
      <c r="L3" s="14"/>
      <c r="M3" s="14"/>
      <c r="N3" s="13"/>
      <c r="R3" s="14" t="s">
        <v>83</v>
      </c>
      <c r="V3" s="9"/>
      <c r="W3" s="9"/>
    </row>
    <row r="4" spans="1:27">
      <c r="A4" s="13"/>
      <c r="B4" s="14"/>
      <c r="C4" s="13"/>
      <c r="D4" s="14"/>
      <c r="E4" s="14" t="s">
        <v>29</v>
      </c>
      <c r="F4" s="14"/>
      <c r="G4" s="13"/>
      <c r="H4" s="13"/>
      <c r="I4" s="14"/>
      <c r="J4" s="13"/>
      <c r="K4" s="14" t="s">
        <v>82</v>
      </c>
      <c r="L4" s="13"/>
      <c r="M4" s="13"/>
      <c r="N4" s="13"/>
      <c r="O4" s="8"/>
      <c r="P4" s="8"/>
      <c r="Q4" s="8"/>
      <c r="R4" s="14" t="s">
        <v>84</v>
      </c>
      <c r="S4" s="8"/>
      <c r="T4" s="8"/>
      <c r="U4" s="8"/>
      <c r="V4" s="8"/>
      <c r="W4" s="13"/>
    </row>
    <row r="5" spans="1:27">
      <c r="A5" s="12" t="s">
        <v>0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7">
      <c r="A6" s="185" t="s">
        <v>1</v>
      </c>
      <c r="B6" s="185" t="s">
        <v>2</v>
      </c>
      <c r="C6" s="198" t="s">
        <v>109</v>
      </c>
      <c r="D6" s="199"/>
      <c r="E6" s="199"/>
      <c r="F6" s="199"/>
      <c r="G6" s="199" t="s">
        <v>110</v>
      </c>
      <c r="H6" s="199"/>
      <c r="I6" s="199"/>
      <c r="J6" s="199"/>
      <c r="K6" s="199" t="s">
        <v>111</v>
      </c>
      <c r="L6" s="199"/>
      <c r="M6" s="199"/>
      <c r="N6" s="199"/>
      <c r="O6" s="195" t="s">
        <v>3</v>
      </c>
      <c r="P6" s="196"/>
      <c r="Q6" s="196"/>
      <c r="R6" s="196"/>
      <c r="S6" s="196"/>
      <c r="T6" s="197"/>
      <c r="U6" s="187" t="s">
        <v>14</v>
      </c>
      <c r="V6" s="193" t="s">
        <v>64</v>
      </c>
      <c r="W6" s="187" t="s">
        <v>31</v>
      </c>
    </row>
    <row r="7" spans="1:27">
      <c r="A7" s="186"/>
      <c r="B7" s="186"/>
      <c r="C7" s="101" t="s">
        <v>4</v>
      </c>
      <c r="D7" s="101" t="s">
        <v>5</v>
      </c>
      <c r="E7" s="101" t="s">
        <v>6</v>
      </c>
      <c r="F7" s="101" t="s">
        <v>7</v>
      </c>
      <c r="G7" s="101" t="s">
        <v>4</v>
      </c>
      <c r="H7" s="101" t="s">
        <v>5</v>
      </c>
      <c r="I7" s="101" t="s">
        <v>6</v>
      </c>
      <c r="J7" s="101" t="s">
        <v>7</v>
      </c>
      <c r="K7" s="101" t="s">
        <v>4</v>
      </c>
      <c r="L7" s="101" t="s">
        <v>5</v>
      </c>
      <c r="M7" s="101" t="s">
        <v>6</v>
      </c>
      <c r="N7" s="101" t="s">
        <v>7</v>
      </c>
      <c r="O7" s="99" t="s">
        <v>15</v>
      </c>
      <c r="P7" s="101" t="s">
        <v>8</v>
      </c>
      <c r="Q7" s="101" t="s">
        <v>9</v>
      </c>
      <c r="R7" s="101" t="s">
        <v>10</v>
      </c>
      <c r="S7" s="101" t="s">
        <v>11</v>
      </c>
      <c r="T7" s="101" t="s">
        <v>12</v>
      </c>
      <c r="U7" s="192"/>
      <c r="V7" s="194"/>
      <c r="W7" s="188"/>
    </row>
    <row r="8" spans="1:27" s="95" customFormat="1" ht="12" customHeight="1">
      <c r="A8" s="92" t="s">
        <v>65</v>
      </c>
      <c r="B8" s="92" t="s">
        <v>66</v>
      </c>
      <c r="C8" s="92" t="s">
        <v>67</v>
      </c>
      <c r="D8" s="92" t="s">
        <v>68</v>
      </c>
      <c r="E8" s="92" t="s">
        <v>69</v>
      </c>
      <c r="F8" s="92" t="s">
        <v>70</v>
      </c>
      <c r="G8" s="92" t="s">
        <v>67</v>
      </c>
      <c r="H8" s="92" t="s">
        <v>68</v>
      </c>
      <c r="I8" s="92" t="s">
        <v>69</v>
      </c>
      <c r="J8" s="92" t="s">
        <v>70</v>
      </c>
      <c r="K8" s="92" t="s">
        <v>67</v>
      </c>
      <c r="L8" s="92" t="s">
        <v>68</v>
      </c>
      <c r="M8" s="92" t="s">
        <v>69</v>
      </c>
      <c r="N8" s="92" t="s">
        <v>70</v>
      </c>
      <c r="O8" s="92" t="s">
        <v>71</v>
      </c>
      <c r="P8" s="92" t="s">
        <v>72</v>
      </c>
      <c r="Q8" s="92" t="s">
        <v>72</v>
      </c>
      <c r="R8" s="92" t="s">
        <v>73</v>
      </c>
      <c r="S8" s="92" t="s">
        <v>73</v>
      </c>
      <c r="T8" s="92" t="s">
        <v>70</v>
      </c>
      <c r="U8" s="93"/>
      <c r="V8" s="94" t="s">
        <v>74</v>
      </c>
      <c r="W8" s="92" t="s">
        <v>66</v>
      </c>
    </row>
    <row r="9" spans="1:27">
      <c r="A9" s="22">
        <v>25</v>
      </c>
      <c r="B9" s="19">
        <v>13.4215778284072</v>
      </c>
      <c r="C9" s="18">
        <v>1707.9099999999999</v>
      </c>
      <c r="D9" s="18">
        <v>45.471294504633143</v>
      </c>
      <c r="E9" s="19">
        <v>28.101516265612553</v>
      </c>
      <c r="F9" s="18">
        <v>170.19792238872284</v>
      </c>
      <c r="G9" s="18">
        <v>557.52999999999975</v>
      </c>
      <c r="H9" s="18">
        <v>42.478071527271332</v>
      </c>
      <c r="I9" s="19">
        <v>8.0054907661577026</v>
      </c>
      <c r="J9" s="18">
        <v>47.112896216391746</v>
      </c>
      <c r="K9" s="18">
        <v>1150.3800000000001</v>
      </c>
      <c r="L9" s="18">
        <v>46.853210721430223</v>
      </c>
      <c r="M9" s="19">
        <v>20.09602549945485</v>
      </c>
      <c r="N9" s="18">
        <v>123.0850261723311</v>
      </c>
      <c r="O9" s="19">
        <v>1.7265302457221143</v>
      </c>
      <c r="P9" s="20">
        <v>1.6365940352725807</v>
      </c>
      <c r="Q9" s="20">
        <v>1.1240606506245021</v>
      </c>
      <c r="R9" s="19">
        <v>16.934690091353101</v>
      </c>
      <c r="S9" s="19">
        <v>6.8079168955489138</v>
      </c>
      <c r="T9" s="91">
        <v>170.19792238872284</v>
      </c>
      <c r="U9" s="18">
        <v>89.994110661922633</v>
      </c>
      <c r="V9" s="19">
        <v>32.643991779426301</v>
      </c>
      <c r="W9" s="23">
        <v>3.1682104552332717</v>
      </c>
      <c r="Y9" s="16"/>
      <c r="Z9" s="16"/>
      <c r="AA9" s="16"/>
    </row>
    <row r="10" spans="1:27">
      <c r="A10" s="102">
        <v>31</v>
      </c>
      <c r="B10" s="103">
        <v>16.3836308135986</v>
      </c>
      <c r="C10" s="104">
        <v>1148.49</v>
      </c>
      <c r="D10" s="104">
        <v>57.212392195762909</v>
      </c>
      <c r="E10" s="103">
        <v>29.915589711090334</v>
      </c>
      <c r="F10" s="104">
        <v>224.69316672044971</v>
      </c>
      <c r="G10" s="104">
        <v>293.13</v>
      </c>
      <c r="H10" s="104">
        <v>47.883020969433296</v>
      </c>
      <c r="I10" s="103">
        <v>5.3482720331382332</v>
      </c>
      <c r="J10" s="104">
        <v>37.585930614792318</v>
      </c>
      <c r="K10" s="104">
        <v>855.36</v>
      </c>
      <c r="L10" s="104">
        <v>60.07715170596569</v>
      </c>
      <c r="M10" s="103">
        <v>24.567317677952101</v>
      </c>
      <c r="N10" s="104">
        <v>187.10723610565739</v>
      </c>
      <c r="O10" s="103">
        <v>1.6700058241262876</v>
      </c>
      <c r="P10" s="105">
        <v>1.4679994671160959</v>
      </c>
      <c r="Q10" s="105">
        <v>1.2232606605563885</v>
      </c>
      <c r="R10" s="103">
        <v>17.4207719598846</v>
      </c>
      <c r="S10" s="103">
        <v>8.7679375140916598</v>
      </c>
      <c r="T10" s="106">
        <v>271.80606293684144</v>
      </c>
      <c r="U10" s="104">
        <v>85.674324999694804</v>
      </c>
      <c r="V10" s="103">
        <v>25.523078128673301</v>
      </c>
      <c r="W10" s="103">
        <v>3.6741781963811029</v>
      </c>
    </row>
    <row r="11" spans="1:27">
      <c r="A11" s="100">
        <v>37</v>
      </c>
      <c r="B11" s="23">
        <v>19.053063587188699</v>
      </c>
      <c r="C11" s="24">
        <v>853.56</v>
      </c>
      <c r="D11" s="24">
        <v>70.097186650723415</v>
      </c>
      <c r="E11" s="23">
        <v>33.375314480648676</v>
      </c>
      <c r="F11" s="24">
        <v>291.63186786496499</v>
      </c>
      <c r="G11" s="24">
        <v>175.58999999999992</v>
      </c>
      <c r="H11" s="24">
        <v>59.759558724605576</v>
      </c>
      <c r="I11" s="23">
        <v>4.9900474880804744</v>
      </c>
      <c r="J11" s="24">
        <v>41.928572320677858</v>
      </c>
      <c r="K11" s="24">
        <v>677.97</v>
      </c>
      <c r="L11" s="24">
        <v>72.534761160161153</v>
      </c>
      <c r="M11" s="23">
        <v>28.385266992568202</v>
      </c>
      <c r="N11" s="24">
        <v>249.70329554428713</v>
      </c>
      <c r="O11" s="23">
        <v>1.6088704283991693</v>
      </c>
      <c r="P11" s="21">
        <v>1.330098636011849</v>
      </c>
      <c r="Q11" s="21">
        <v>1.2629480345930977</v>
      </c>
      <c r="R11" s="23">
        <v>17.329190797382097</v>
      </c>
      <c r="S11" s="23">
        <v>10.171099856652678</v>
      </c>
      <c r="T11" s="89">
        <v>376.33069469614907</v>
      </c>
      <c r="U11" s="24">
        <v>82.521764236216896</v>
      </c>
      <c r="V11" s="23">
        <v>20.57148882328131</v>
      </c>
      <c r="W11" s="23">
        <v>4.1269522663362199</v>
      </c>
    </row>
    <row r="12" spans="1:27">
      <c r="A12" s="102">
        <v>43</v>
      </c>
      <c r="B12" s="103">
        <v>21.415872713088898</v>
      </c>
      <c r="C12" s="104">
        <v>676.53000000000009</v>
      </c>
      <c r="D12" s="104">
        <v>82.187983730556169</v>
      </c>
      <c r="E12" s="103">
        <v>36.365858808639295</v>
      </c>
      <c r="F12" s="104">
        <v>353.67844032857971</v>
      </c>
      <c r="G12" s="104">
        <v>128.5200000000001</v>
      </c>
      <c r="H12" s="104">
        <v>72.026018633338751</v>
      </c>
      <c r="I12" s="103">
        <v>5.3056631161841388</v>
      </c>
      <c r="J12" s="104">
        <v>50.593465880043311</v>
      </c>
      <c r="K12" s="104">
        <v>548.01</v>
      </c>
      <c r="L12" s="104">
        <v>84.394235632590636</v>
      </c>
      <c r="M12" s="103">
        <v>31.060195692455157</v>
      </c>
      <c r="N12" s="104">
        <v>303.0849744485364</v>
      </c>
      <c r="O12" s="103">
        <v>1.5742442320604038</v>
      </c>
      <c r="P12" s="105">
        <v>1.2078377964036455</v>
      </c>
      <c r="Q12" s="105">
        <v>1.2723178859538535</v>
      </c>
      <c r="R12" s="103">
        <v>16.77498426381975</v>
      </c>
      <c r="S12" s="103">
        <v>11.1699032437312</v>
      </c>
      <c r="T12" s="106">
        <v>480.30583948044165</v>
      </c>
      <c r="U12" s="104">
        <v>79.721023457759244</v>
      </c>
      <c r="V12" s="103">
        <v>18.996940268724234</v>
      </c>
      <c r="W12" s="103">
        <v>4.5902933679804123</v>
      </c>
    </row>
    <row r="13" spans="1:27">
      <c r="A13" s="100">
        <v>49</v>
      </c>
      <c r="B13" s="23">
        <v>23.486849821090601</v>
      </c>
      <c r="C13" s="24">
        <v>546.66</v>
      </c>
      <c r="D13" s="24">
        <v>93.839701024953058</v>
      </c>
      <c r="E13" s="23">
        <v>38.307222470877029</v>
      </c>
      <c r="F13" s="24">
        <v>403.73488003145491</v>
      </c>
      <c r="G13" s="24">
        <v>103.94999999999999</v>
      </c>
      <c r="H13" s="24">
        <v>83.835622640572055</v>
      </c>
      <c r="I13" s="23">
        <v>5.8139570341125903</v>
      </c>
      <c r="J13" s="24">
        <v>60.685743544546483</v>
      </c>
      <c r="K13" s="24">
        <v>442.71</v>
      </c>
      <c r="L13" s="24">
        <v>96.037743020674895</v>
      </c>
      <c r="M13" s="23">
        <v>32.493265436764439</v>
      </c>
      <c r="N13" s="24">
        <v>343.04913648690842</v>
      </c>
      <c r="O13" s="23">
        <v>1.5635845085083748</v>
      </c>
      <c r="P13" s="21">
        <v>1.0991070479963554</v>
      </c>
      <c r="Q13" s="21">
        <v>1.2644223647844404</v>
      </c>
      <c r="R13" s="23">
        <v>15.931321574821348</v>
      </c>
      <c r="S13" s="23">
        <v>11.856239695170615</v>
      </c>
      <c r="T13" s="89">
        <v>580.95574506336015</v>
      </c>
      <c r="U13" s="24">
        <v>76.830329965189193</v>
      </c>
      <c r="V13" s="23">
        <v>19.015475798485344</v>
      </c>
      <c r="W13" s="23">
        <v>5.1071077198379342</v>
      </c>
      <c r="Y13" s="16"/>
      <c r="AA13" s="16"/>
    </row>
    <row r="14" spans="1:27">
      <c r="A14" s="102">
        <v>55</v>
      </c>
      <c r="B14" s="103">
        <v>25.3054966201782</v>
      </c>
      <c r="C14" s="104">
        <v>441.99</v>
      </c>
      <c r="D14" s="104">
        <v>105.41925007172514</v>
      </c>
      <c r="E14" s="103">
        <v>39.087907724742571</v>
      </c>
      <c r="F14" s="104">
        <v>438.63706593583652</v>
      </c>
      <c r="G14" s="104">
        <v>73.53000000000003</v>
      </c>
      <c r="H14" s="104">
        <v>95.18517370386536</v>
      </c>
      <c r="I14" s="103">
        <v>5.3014334687505027</v>
      </c>
      <c r="J14" s="104">
        <v>59.148265453246836</v>
      </c>
      <c r="K14" s="104">
        <v>368.46</v>
      </c>
      <c r="L14" s="104">
        <v>107.34484545506425</v>
      </c>
      <c r="M14" s="103">
        <v>33.786474255992069</v>
      </c>
      <c r="N14" s="104">
        <v>379.48880048258968</v>
      </c>
      <c r="O14" s="103">
        <v>1.5507545658584145</v>
      </c>
      <c r="P14" s="105">
        <v>1.0103772974494507</v>
      </c>
      <c r="Q14" s="105">
        <v>1.2463879665893765</v>
      </c>
      <c r="R14" s="103">
        <v>15.134079256067556</v>
      </c>
      <c r="S14" s="103">
        <v>12.300794082041605</v>
      </c>
      <c r="T14" s="106">
        <v>676.54367451228825</v>
      </c>
      <c r="U14" s="104">
        <v>74.059971804302975</v>
      </c>
      <c r="V14" s="103">
        <v>16.636122989207905</v>
      </c>
      <c r="W14" s="103">
        <v>5.5980852818304765</v>
      </c>
      <c r="Y14" s="16"/>
    </row>
    <row r="15" spans="1:27">
      <c r="A15" s="100">
        <v>61</v>
      </c>
      <c r="B15" s="23">
        <v>26.927700790405201</v>
      </c>
      <c r="C15" s="24">
        <v>368.01</v>
      </c>
      <c r="D15" s="24">
        <v>116.64937285021473</v>
      </c>
      <c r="E15" s="23">
        <v>39.848738040688772</v>
      </c>
      <c r="F15" s="24">
        <v>470.29327601899502</v>
      </c>
      <c r="G15" s="24">
        <v>53.730000000000018</v>
      </c>
      <c r="H15" s="24">
        <v>107.14931586346587</v>
      </c>
      <c r="I15" s="23">
        <v>4.9089180440475957</v>
      </c>
      <c r="J15" s="24">
        <v>57.958198128639026</v>
      </c>
      <c r="K15" s="24">
        <v>314.27999999999997</v>
      </c>
      <c r="L15" s="24">
        <v>118.19711912297208</v>
      </c>
      <c r="M15" s="23">
        <v>34.939819996641177</v>
      </c>
      <c r="N15" s="24">
        <v>412.33507789035599</v>
      </c>
      <c r="O15" s="23">
        <v>1.5386751660696401</v>
      </c>
      <c r="P15" s="21">
        <v>0.93939591849228066</v>
      </c>
      <c r="Q15" s="21">
        <v>1.2231738024116789</v>
      </c>
      <c r="R15" s="23">
        <v>14.429314382125048</v>
      </c>
      <c r="S15" s="23">
        <v>12.579477869650715</v>
      </c>
      <c r="T15" s="89">
        <v>767.34815004869358</v>
      </c>
      <c r="U15" s="24">
        <v>71.571851842842008</v>
      </c>
      <c r="V15" s="23">
        <v>14.600146735143072</v>
      </c>
      <c r="W15" s="23">
        <v>6.0614469969162661</v>
      </c>
      <c r="Y15" s="16"/>
    </row>
    <row r="16" spans="1:27">
      <c r="A16" s="102">
        <v>67</v>
      </c>
      <c r="B16" s="103">
        <v>28.3679302997589</v>
      </c>
      <c r="C16" s="104">
        <v>314.01</v>
      </c>
      <c r="D16" s="104">
        <v>127.42917011938992</v>
      </c>
      <c r="E16" s="103">
        <v>40.576195507594861</v>
      </c>
      <c r="F16" s="104">
        <v>498.91096418310627</v>
      </c>
      <c r="G16" s="104">
        <v>41.31</v>
      </c>
      <c r="H16" s="104">
        <v>117.80191116901477</v>
      </c>
      <c r="I16" s="103">
        <v>4.5619445650296626</v>
      </c>
      <c r="J16" s="104">
        <v>56.205945062072942</v>
      </c>
      <c r="K16" s="104">
        <v>272.7</v>
      </c>
      <c r="L16" s="104">
        <v>128.82482352954619</v>
      </c>
      <c r="M16" s="103">
        <v>36.014250942565198</v>
      </c>
      <c r="N16" s="104">
        <v>442.70501912103333</v>
      </c>
      <c r="O16" s="103">
        <v>1.5294070677079692</v>
      </c>
      <c r="P16" s="105">
        <v>0.88330442006947507</v>
      </c>
      <c r="Q16" s="105">
        <v>1.197760857583076</v>
      </c>
      <c r="R16" s="103">
        <v>13.843579125930896</v>
      </c>
      <c r="S16" s="103">
        <v>12.745134870767819</v>
      </c>
      <c r="T16" s="106">
        <v>853.92403634144387</v>
      </c>
      <c r="U16" s="104">
        <v>69.179587431633408</v>
      </c>
      <c r="V16" s="103">
        <v>13.155631986242478</v>
      </c>
      <c r="W16" s="103">
        <v>6.507169435782286</v>
      </c>
      <c r="Y16" s="16"/>
    </row>
    <row r="17" spans="1:25">
      <c r="A17" s="100">
        <v>73</v>
      </c>
      <c r="B17" s="23">
        <v>29.672443096160801</v>
      </c>
      <c r="C17" s="24">
        <v>272.61</v>
      </c>
      <c r="D17" s="24">
        <v>138.00126593579401</v>
      </c>
      <c r="E17" s="23">
        <v>41.314077462982048</v>
      </c>
      <c r="F17" s="24">
        <v>525.76649387661871</v>
      </c>
      <c r="G17" s="24">
        <v>32.669999999999987</v>
      </c>
      <c r="H17" s="24">
        <v>128.80904038340725</v>
      </c>
      <c r="I17" s="23">
        <v>4.3135214302611828</v>
      </c>
      <c r="J17" s="24">
        <v>55.130754282916428</v>
      </c>
      <c r="K17" s="24">
        <v>239.94000000000003</v>
      </c>
      <c r="L17" s="24">
        <v>139.2059280626757</v>
      </c>
      <c r="M17" s="23">
        <v>37.000556032720866</v>
      </c>
      <c r="N17" s="24">
        <v>470.63573959370228</v>
      </c>
      <c r="O17" s="23">
        <v>1.5242092966020901</v>
      </c>
      <c r="P17" s="21">
        <v>0.83687676401281408</v>
      </c>
      <c r="Q17" s="21">
        <v>1.171915122992917</v>
      </c>
      <c r="R17" s="23">
        <v>13.339931878800144</v>
      </c>
      <c r="S17" s="23">
        <v>12.835417960233277</v>
      </c>
      <c r="T17" s="89">
        <v>936.9855110970293</v>
      </c>
      <c r="U17" s="24">
        <v>66.964626106288677</v>
      </c>
      <c r="V17" s="23">
        <v>11.984153185869918</v>
      </c>
      <c r="W17" s="23">
        <v>6.9371862863023601</v>
      </c>
      <c r="Y17" s="16"/>
    </row>
    <row r="18" spans="1:25">
      <c r="A18" s="102">
        <v>79</v>
      </c>
      <c r="B18" s="103">
        <v>30.861677381515499</v>
      </c>
      <c r="C18" s="104">
        <v>239.94000000000003</v>
      </c>
      <c r="D18" s="104">
        <v>148.35118384228824</v>
      </c>
      <c r="E18" s="103">
        <v>42.02181661679775</v>
      </c>
      <c r="F18" s="104">
        <v>550.67533086650315</v>
      </c>
      <c r="G18" s="104">
        <v>26.730000000000018</v>
      </c>
      <c r="H18" s="104">
        <v>138.6521856573145</v>
      </c>
      <c r="I18" s="103">
        <v>4.0892393827541724</v>
      </c>
      <c r="J18" s="104">
        <v>53.852073670962966</v>
      </c>
      <c r="K18" s="104">
        <v>213.21</v>
      </c>
      <c r="L18" s="104">
        <v>149.52276596995014</v>
      </c>
      <c r="M18" s="103">
        <v>37.932577234043578</v>
      </c>
      <c r="N18" s="104">
        <v>496.82325719554018</v>
      </c>
      <c r="O18" s="103">
        <v>1.5241463676057474</v>
      </c>
      <c r="P18" s="105">
        <v>0.79697280511675572</v>
      </c>
      <c r="Q18" s="105">
        <v>1.1464691716779725</v>
      </c>
      <c r="R18" s="103">
        <v>12.898079195224804</v>
      </c>
      <c r="S18" s="103">
        <v>12.873735473035826</v>
      </c>
      <c r="T18" s="106">
        <v>1017.0251023698302</v>
      </c>
      <c r="U18" s="104">
        <v>64.842847381991689</v>
      </c>
      <c r="V18" s="103">
        <v>11.140285071267824</v>
      </c>
      <c r="W18" s="103">
        <v>7.3592049686889665</v>
      </c>
      <c r="Y18" s="16"/>
    </row>
    <row r="19" spans="1:25">
      <c r="A19" s="100">
        <v>85</v>
      </c>
      <c r="B19" s="23">
        <v>31.963551515579201</v>
      </c>
      <c r="C19" s="24">
        <v>213.21</v>
      </c>
      <c r="D19" s="24">
        <v>158.66764417558463</v>
      </c>
      <c r="E19" s="23">
        <v>42.714414064744112</v>
      </c>
      <c r="F19" s="24">
        <v>574.21173236688901</v>
      </c>
      <c r="G19" s="24">
        <v>22.139999999999986</v>
      </c>
      <c r="H19" s="24">
        <v>148.60013271468765</v>
      </c>
      <c r="I19" s="23">
        <v>3.8905065166982382</v>
      </c>
      <c r="J19" s="24">
        <v>52.564136360004795</v>
      </c>
      <c r="K19" s="24">
        <v>191.07000000000002</v>
      </c>
      <c r="L19" s="24">
        <v>159.79320305319081</v>
      </c>
      <c r="M19" s="23">
        <v>38.823907548045874</v>
      </c>
      <c r="N19" s="24">
        <v>521.64759600688421</v>
      </c>
      <c r="O19" s="23">
        <v>1.5270298066352457</v>
      </c>
      <c r="P19" s="21">
        <v>0.76329786215317463</v>
      </c>
      <c r="Q19" s="21">
        <v>1.1217988399207102</v>
      </c>
      <c r="R19" s="23">
        <v>12.525806179118831</v>
      </c>
      <c r="S19" s="23">
        <v>12.875453853425634</v>
      </c>
      <c r="T19" s="89">
        <v>1094.4135775411789</v>
      </c>
      <c r="U19" s="24">
        <v>62.841508090025968</v>
      </c>
      <c r="V19" s="23">
        <v>10.384128324187413</v>
      </c>
      <c r="W19" s="23">
        <v>7.773890738327494</v>
      </c>
      <c r="Y19" s="16"/>
    </row>
    <row r="20" spans="1:25">
      <c r="A20" s="107">
        <v>91</v>
      </c>
      <c r="B20" s="108">
        <v>32.997682529449399</v>
      </c>
      <c r="C20" s="109">
        <v>191.07000000000002</v>
      </c>
      <c r="D20" s="109">
        <v>168.95538189300228</v>
      </c>
      <c r="E20" s="108">
        <v>43.403694720964921</v>
      </c>
      <c r="F20" s="109">
        <v>596.8024330815972</v>
      </c>
      <c r="G20" s="109">
        <v>191.07000000000002</v>
      </c>
      <c r="H20" s="109">
        <v>168.95538189300228</v>
      </c>
      <c r="I20" s="108">
        <v>43.403694720964921</v>
      </c>
      <c r="J20" s="109">
        <v>596.8024330815972</v>
      </c>
      <c r="K20" s="109" t="s">
        <v>27</v>
      </c>
      <c r="L20" s="109" t="s">
        <v>27</v>
      </c>
      <c r="M20" s="108" t="s">
        <v>27</v>
      </c>
      <c r="N20" s="109" t="s">
        <v>27</v>
      </c>
      <c r="O20" s="108" t="s">
        <v>27</v>
      </c>
      <c r="P20" s="110" t="s">
        <v>27</v>
      </c>
      <c r="Q20" s="110">
        <v>1.0981614128151584</v>
      </c>
      <c r="R20" s="108" t="s">
        <v>27</v>
      </c>
      <c r="S20" s="108">
        <v>12.852400160614197</v>
      </c>
      <c r="T20" s="111">
        <v>1169.5684146158919</v>
      </c>
      <c r="U20" s="109">
        <v>61.356599510784847</v>
      </c>
      <c r="V20" s="112" t="s">
        <v>27</v>
      </c>
      <c r="W20" s="113" t="s">
        <v>27</v>
      </c>
    </row>
    <row r="22" spans="1:25">
      <c r="A22" s="12" t="s">
        <v>32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 spans="1:25" ht="15" customHeight="1">
      <c r="A23" s="187" t="s">
        <v>1</v>
      </c>
      <c r="B23" s="187" t="s">
        <v>2</v>
      </c>
      <c r="C23" s="189" t="s">
        <v>33</v>
      </c>
      <c r="D23" s="190"/>
      <c r="E23" s="190"/>
      <c r="F23" s="190"/>
      <c r="G23" s="190"/>
      <c r="H23" s="190"/>
      <c r="I23" s="190"/>
      <c r="J23" s="191"/>
      <c r="K23" s="189" t="s">
        <v>105</v>
      </c>
      <c r="L23" s="191"/>
      <c r="M23" s="189" t="s">
        <v>34</v>
      </c>
      <c r="N23" s="190"/>
      <c r="O23" s="190"/>
      <c r="P23" s="190"/>
      <c r="Q23" s="190"/>
      <c r="R23" s="190"/>
      <c r="S23" s="190"/>
      <c r="T23" s="191"/>
      <c r="U23" s="189" t="s">
        <v>106</v>
      </c>
      <c r="V23" s="191"/>
      <c r="W23" s="193" t="s">
        <v>113</v>
      </c>
    </row>
    <row r="24" spans="1:25">
      <c r="A24" s="188"/>
      <c r="B24" s="188"/>
      <c r="C24" s="96" t="s">
        <v>19</v>
      </c>
      <c r="D24" s="96" t="s">
        <v>20</v>
      </c>
      <c r="E24" s="96" t="s">
        <v>21</v>
      </c>
      <c r="F24" s="96" t="s">
        <v>22</v>
      </c>
      <c r="G24" s="96" t="s">
        <v>23</v>
      </c>
      <c r="H24" s="96" t="s">
        <v>24</v>
      </c>
      <c r="I24" s="96" t="s">
        <v>25</v>
      </c>
      <c r="J24" s="96" t="s">
        <v>26</v>
      </c>
      <c r="K24" s="128" t="s">
        <v>105</v>
      </c>
      <c r="L24" s="128" t="s">
        <v>107</v>
      </c>
      <c r="M24" s="96" t="s">
        <v>19</v>
      </c>
      <c r="N24" s="96" t="s">
        <v>20</v>
      </c>
      <c r="O24" s="96" t="s">
        <v>21</v>
      </c>
      <c r="P24" s="96" t="s">
        <v>22</v>
      </c>
      <c r="Q24" s="96" t="s">
        <v>23</v>
      </c>
      <c r="R24" s="96" t="s">
        <v>24</v>
      </c>
      <c r="S24" s="96" t="s">
        <v>25</v>
      </c>
      <c r="T24" s="96" t="s">
        <v>26</v>
      </c>
      <c r="U24" s="135" t="s">
        <v>106</v>
      </c>
      <c r="V24" s="135" t="s">
        <v>107</v>
      </c>
      <c r="W24" s="194"/>
    </row>
    <row r="25" spans="1:25" s="95" customFormat="1" ht="12">
      <c r="A25" s="92" t="s">
        <v>65</v>
      </c>
      <c r="B25" s="92" t="s">
        <v>66</v>
      </c>
      <c r="C25" s="92" t="s">
        <v>70</v>
      </c>
      <c r="D25" s="92" t="s">
        <v>70</v>
      </c>
      <c r="E25" s="92" t="s">
        <v>70</v>
      </c>
      <c r="F25" s="92" t="s">
        <v>70</v>
      </c>
      <c r="G25" s="92" t="s">
        <v>70</v>
      </c>
      <c r="H25" s="92" t="s">
        <v>70</v>
      </c>
      <c r="I25" s="92" t="s">
        <v>70</v>
      </c>
      <c r="J25" s="92" t="s">
        <v>70</v>
      </c>
      <c r="K25" s="92" t="s">
        <v>75</v>
      </c>
      <c r="L25" s="92" t="s">
        <v>75</v>
      </c>
      <c r="M25" s="92" t="s">
        <v>70</v>
      </c>
      <c r="N25" s="92" t="s">
        <v>70</v>
      </c>
      <c r="O25" s="92" t="s">
        <v>70</v>
      </c>
      <c r="P25" s="92" t="s">
        <v>70</v>
      </c>
      <c r="Q25" s="92" t="s">
        <v>70</v>
      </c>
      <c r="R25" s="92" t="s">
        <v>70</v>
      </c>
      <c r="S25" s="92" t="s">
        <v>70</v>
      </c>
      <c r="T25" s="92" t="s">
        <v>70</v>
      </c>
      <c r="U25" s="92" t="s">
        <v>75</v>
      </c>
      <c r="V25" s="92" t="s">
        <v>75</v>
      </c>
      <c r="W25" s="92" t="s">
        <v>75</v>
      </c>
    </row>
    <row r="26" spans="1:25">
      <c r="A26" s="87">
        <v>25</v>
      </c>
      <c r="B26" s="23">
        <v>13.4215778284072</v>
      </c>
      <c r="C26" s="24">
        <v>33.566812266400433</v>
      </c>
      <c r="D26" s="24">
        <v>110.50929565294591</v>
      </c>
      <c r="E26" s="24">
        <v>25.771256067347522</v>
      </c>
      <c r="F26" s="24">
        <v>0</v>
      </c>
      <c r="G26" s="24">
        <v>0</v>
      </c>
      <c r="H26" s="24">
        <v>0</v>
      </c>
      <c r="I26" s="24">
        <v>0</v>
      </c>
      <c r="J26" s="24">
        <v>0</v>
      </c>
      <c r="K26" s="88">
        <v>5144.3186533033359</v>
      </c>
      <c r="L26" s="88">
        <v>3135.6210270228476</v>
      </c>
      <c r="M26" s="25">
        <v>13.041747961782805</v>
      </c>
      <c r="N26" s="25">
        <v>26.971217455323067</v>
      </c>
      <c r="O26" s="25">
        <v>6.7493723972559039</v>
      </c>
      <c r="P26" s="25">
        <v>0</v>
      </c>
      <c r="Q26" s="25">
        <v>0</v>
      </c>
      <c r="R26" s="25">
        <v>0</v>
      </c>
      <c r="S26" s="25">
        <v>0</v>
      </c>
      <c r="T26" s="25">
        <v>0</v>
      </c>
      <c r="U26" s="88">
        <v>967.22108204427866</v>
      </c>
      <c r="V26" s="88">
        <v>589.55110813175349</v>
      </c>
      <c r="W26" s="89">
        <v>3135.6210270228476</v>
      </c>
    </row>
    <row r="27" spans="1:25">
      <c r="A27" s="114">
        <v>31</v>
      </c>
      <c r="B27" s="103">
        <v>16.3836308135986</v>
      </c>
      <c r="C27" s="104">
        <v>7.3030688527295631</v>
      </c>
      <c r="D27" s="104">
        <v>104.05032137633141</v>
      </c>
      <c r="E27" s="104">
        <v>66.420928488514676</v>
      </c>
      <c r="F27" s="104">
        <v>46.736131299920807</v>
      </c>
      <c r="G27" s="104">
        <v>0</v>
      </c>
      <c r="H27" s="104">
        <v>0</v>
      </c>
      <c r="I27" s="104">
        <v>0</v>
      </c>
      <c r="J27" s="104">
        <v>0</v>
      </c>
      <c r="K27" s="115">
        <v>8677.9460792911777</v>
      </c>
      <c r="L27" s="115">
        <v>4696.9033397196308</v>
      </c>
      <c r="M27" s="116">
        <v>5.4321965738785822</v>
      </c>
      <c r="N27" s="116">
        <v>22.058769103373169</v>
      </c>
      <c r="O27" s="116">
        <v>5.7399737203884618</v>
      </c>
      <c r="P27" s="116">
        <v>4.1722745141988824</v>
      </c>
      <c r="Q27" s="116">
        <v>0</v>
      </c>
      <c r="R27" s="116">
        <v>0</v>
      </c>
      <c r="S27" s="116">
        <v>0</v>
      </c>
      <c r="T27" s="116">
        <v>0</v>
      </c>
      <c r="U27" s="115">
        <v>935.45200470945633</v>
      </c>
      <c r="V27" s="115">
        <v>506.30962729214752</v>
      </c>
      <c r="W27" s="106">
        <v>5286.4544478513844</v>
      </c>
    </row>
    <row r="28" spans="1:25">
      <c r="A28" s="87">
        <v>37</v>
      </c>
      <c r="B28" s="23">
        <v>19.053063587188699</v>
      </c>
      <c r="C28" s="24">
        <v>0.44244686824775936</v>
      </c>
      <c r="D28" s="24">
        <v>45.690377430326734</v>
      </c>
      <c r="E28" s="24">
        <v>84.045423732236557</v>
      </c>
      <c r="F28" s="24">
        <v>143.98457431172139</v>
      </c>
      <c r="G28" s="24">
        <v>17.31293494337779</v>
      </c>
      <c r="H28" s="24">
        <v>0</v>
      </c>
      <c r="I28" s="24">
        <v>0</v>
      </c>
      <c r="J28" s="24">
        <v>0</v>
      </c>
      <c r="K28" s="88">
        <v>13610.5065780083</v>
      </c>
      <c r="L28" s="88">
        <v>6541.3582476090996</v>
      </c>
      <c r="M28" s="25">
        <v>0.44244686824775936</v>
      </c>
      <c r="N28" s="25">
        <v>21.305422797551437</v>
      </c>
      <c r="O28" s="25">
        <v>9.0113619966860732</v>
      </c>
      <c r="P28" s="25">
        <v>10.070371440883882</v>
      </c>
      <c r="Q28" s="25">
        <v>0.94285863825433192</v>
      </c>
      <c r="R28" s="25">
        <v>0</v>
      </c>
      <c r="S28" s="25">
        <v>0</v>
      </c>
      <c r="T28" s="25">
        <v>0</v>
      </c>
      <c r="U28" s="88">
        <v>1398.0570852995957</v>
      </c>
      <c r="V28" s="88">
        <v>671.92151836064238</v>
      </c>
      <c r="W28" s="89">
        <v>7637.2189830330008</v>
      </c>
    </row>
    <row r="29" spans="1:25">
      <c r="A29" s="114">
        <v>43</v>
      </c>
      <c r="B29" s="103">
        <v>21.415872713088898</v>
      </c>
      <c r="C29" s="104">
        <v>0</v>
      </c>
      <c r="D29" s="104">
        <v>6.7608247975669196</v>
      </c>
      <c r="E29" s="104">
        <v>40.495866604955957</v>
      </c>
      <c r="F29" s="104">
        <v>204.30774504910121</v>
      </c>
      <c r="G29" s="104">
        <v>101.86859903013428</v>
      </c>
      <c r="H29" s="104">
        <v>0</v>
      </c>
      <c r="I29" s="104">
        <v>0</v>
      </c>
      <c r="J29" s="104">
        <v>0</v>
      </c>
      <c r="K29" s="115">
        <v>18958.517374360988</v>
      </c>
      <c r="L29" s="115">
        <v>8090.9028248664417</v>
      </c>
      <c r="M29" s="116">
        <v>0</v>
      </c>
      <c r="N29" s="116">
        <v>5.2045881666369054</v>
      </c>
      <c r="O29" s="116">
        <v>18.499235696350066</v>
      </c>
      <c r="P29" s="116">
        <v>19.916517657153115</v>
      </c>
      <c r="Q29" s="116">
        <v>6.7277195130822696</v>
      </c>
      <c r="R29" s="116">
        <v>0</v>
      </c>
      <c r="S29" s="116">
        <v>0</v>
      </c>
      <c r="T29" s="116">
        <v>0</v>
      </c>
      <c r="U29" s="115">
        <v>2111.1066534458946</v>
      </c>
      <c r="V29" s="115">
        <v>900.95435464058539</v>
      </c>
      <c r="W29" s="106">
        <v>9858.6850786509858</v>
      </c>
    </row>
    <row r="30" spans="1:25">
      <c r="A30" s="87">
        <v>49</v>
      </c>
      <c r="B30" s="23">
        <v>23.486849821090601</v>
      </c>
      <c r="C30" s="24">
        <v>0</v>
      </c>
      <c r="D30" s="24">
        <v>0</v>
      </c>
      <c r="E30" s="24">
        <v>5.2795496383136493</v>
      </c>
      <c r="F30" s="24">
        <v>153.81753626483533</v>
      </c>
      <c r="G30" s="24">
        <v>244.32846602102748</v>
      </c>
      <c r="H30" s="24">
        <v>0</v>
      </c>
      <c r="I30" s="24">
        <v>0</v>
      </c>
      <c r="J30" s="24">
        <v>0</v>
      </c>
      <c r="K30" s="88">
        <v>24058.663809159989</v>
      </c>
      <c r="L30" s="88">
        <v>9117.2337000582338</v>
      </c>
      <c r="M30" s="25">
        <v>0</v>
      </c>
      <c r="N30" s="25">
        <v>0</v>
      </c>
      <c r="O30" s="25">
        <v>4.657791162830125</v>
      </c>
      <c r="P30" s="25">
        <v>41.271354153827829</v>
      </c>
      <c r="Q30" s="25">
        <v>14.447270120610806</v>
      </c>
      <c r="R30" s="25">
        <v>0</v>
      </c>
      <c r="S30" s="25">
        <v>0</v>
      </c>
      <c r="T30" s="25">
        <v>0</v>
      </c>
      <c r="U30" s="88">
        <v>2979.4870353403394</v>
      </c>
      <c r="V30" s="88">
        <v>1129.1017582260315</v>
      </c>
      <c r="W30" s="89">
        <v>11785.970308483364</v>
      </c>
    </row>
    <row r="31" spans="1:25">
      <c r="A31" s="114">
        <v>55</v>
      </c>
      <c r="B31" s="103">
        <v>25.3054966201782</v>
      </c>
      <c r="C31" s="104">
        <v>0</v>
      </c>
      <c r="D31" s="104">
        <v>0</v>
      </c>
      <c r="E31" s="104">
        <v>0</v>
      </c>
      <c r="F31" s="104">
        <v>37.706293648489563</v>
      </c>
      <c r="G31" s="104">
        <v>350.48025401009329</v>
      </c>
      <c r="H31" s="104">
        <v>50.248892508471904</v>
      </c>
      <c r="I31" s="104">
        <v>0</v>
      </c>
      <c r="J31" s="104">
        <v>0</v>
      </c>
      <c r="K31" s="115">
        <v>28413.062002160073</v>
      </c>
      <c r="L31" s="115">
        <v>9561.1161065467495</v>
      </c>
      <c r="M31" s="116">
        <v>0</v>
      </c>
      <c r="N31" s="116">
        <v>0</v>
      </c>
      <c r="O31" s="116">
        <v>0</v>
      </c>
      <c r="P31" s="116">
        <v>21.398318676228214</v>
      </c>
      <c r="Q31" s="116">
        <v>35.350192444494766</v>
      </c>
      <c r="R31" s="116">
        <v>2.1981285637434964</v>
      </c>
      <c r="S31" s="116">
        <v>0</v>
      </c>
      <c r="T31" s="116">
        <v>0</v>
      </c>
      <c r="U31" s="115">
        <v>3272.2049325676144</v>
      </c>
      <c r="V31" s="115">
        <v>1101.1108652180978</v>
      </c>
      <c r="W31" s="106">
        <v>13358.954473197909</v>
      </c>
    </row>
    <row r="32" spans="1:25">
      <c r="A32" s="87">
        <v>61</v>
      </c>
      <c r="B32" s="23">
        <v>26.927700790405201</v>
      </c>
      <c r="C32" s="24">
        <v>0</v>
      </c>
      <c r="D32" s="24">
        <v>0</v>
      </c>
      <c r="E32" s="24">
        <v>0</v>
      </c>
      <c r="F32" s="24">
        <v>0.82494149759254509</v>
      </c>
      <c r="G32" s="24">
        <v>307.01615570326754</v>
      </c>
      <c r="H32" s="24">
        <v>162.13790410680841</v>
      </c>
      <c r="I32" s="24">
        <v>0</v>
      </c>
      <c r="J32" s="24">
        <v>0</v>
      </c>
      <c r="K32" s="88">
        <v>32443.993378299772</v>
      </c>
      <c r="L32" s="88">
        <v>9694.4645439424257</v>
      </c>
      <c r="M32" s="25">
        <v>0</v>
      </c>
      <c r="N32" s="25">
        <v>0</v>
      </c>
      <c r="O32" s="25">
        <v>0</v>
      </c>
      <c r="P32" s="25">
        <v>0.68848253315890007</v>
      </c>
      <c r="Q32" s="25">
        <v>49.525525153298226</v>
      </c>
      <c r="R32" s="25">
        <v>7.4299157308554351</v>
      </c>
      <c r="S32" s="25">
        <v>0</v>
      </c>
      <c r="T32" s="25">
        <v>0</v>
      </c>
      <c r="U32" s="88">
        <v>3518.3515594793344</v>
      </c>
      <c r="V32" s="88">
        <v>1051.3050612724669</v>
      </c>
      <c r="W32" s="89">
        <v>14593.413775811685</v>
      </c>
    </row>
    <row r="33" spans="1:25">
      <c r="A33" s="114">
        <v>67</v>
      </c>
      <c r="B33" s="103">
        <v>28.3679302997589</v>
      </c>
      <c r="C33" s="104">
        <v>0</v>
      </c>
      <c r="D33" s="104">
        <v>0</v>
      </c>
      <c r="E33" s="104">
        <v>0</v>
      </c>
      <c r="F33" s="104">
        <v>0</v>
      </c>
      <c r="G33" s="104">
        <v>163.88035553463791</v>
      </c>
      <c r="H33" s="104">
        <v>334.76066171854387</v>
      </c>
      <c r="I33" s="104">
        <v>0</v>
      </c>
      <c r="J33" s="104">
        <v>0</v>
      </c>
      <c r="K33" s="115">
        <v>36056.096540277758</v>
      </c>
      <c r="L33" s="115">
        <v>9566.8111239707505</v>
      </c>
      <c r="M33" s="116">
        <v>0</v>
      </c>
      <c r="N33" s="116">
        <v>0</v>
      </c>
      <c r="O33" s="116">
        <v>0</v>
      </c>
      <c r="P33" s="116">
        <v>0</v>
      </c>
      <c r="Q33" s="116">
        <v>41.156601080423805</v>
      </c>
      <c r="R33" s="116">
        <v>14.779397051725574</v>
      </c>
      <c r="S33" s="116">
        <v>0</v>
      </c>
      <c r="T33" s="116">
        <v>0</v>
      </c>
      <c r="U33" s="115">
        <v>3631.6523540972667</v>
      </c>
      <c r="V33" s="115">
        <v>963.59105597470887</v>
      </c>
      <c r="W33" s="106">
        <v>15517.065417112475</v>
      </c>
    </row>
    <row r="34" spans="1:25">
      <c r="A34" s="87">
        <v>73</v>
      </c>
      <c r="B34" s="23">
        <v>29.672443096160801</v>
      </c>
      <c r="C34" s="24">
        <v>0</v>
      </c>
      <c r="D34" s="24">
        <v>0</v>
      </c>
      <c r="E34" s="24">
        <v>0</v>
      </c>
      <c r="F34" s="24">
        <v>0</v>
      </c>
      <c r="G34" s="24">
        <v>22.877168016407744</v>
      </c>
      <c r="H34" s="24">
        <v>435.52390885806017</v>
      </c>
      <c r="I34" s="24">
        <v>67.067772805677876</v>
      </c>
      <c r="J34" s="24">
        <v>0</v>
      </c>
      <c r="K34" s="88">
        <v>39280.947673366099</v>
      </c>
      <c r="L34" s="88">
        <v>9254.8507240944273</v>
      </c>
      <c r="M34" s="25">
        <v>0</v>
      </c>
      <c r="N34" s="25">
        <v>0</v>
      </c>
      <c r="O34" s="25">
        <v>0</v>
      </c>
      <c r="P34" s="25">
        <v>0</v>
      </c>
      <c r="Q34" s="25">
        <v>12.651675031509013</v>
      </c>
      <c r="R34" s="25">
        <v>39.454682060425988</v>
      </c>
      <c r="S34" s="25">
        <v>2.7267529945098654</v>
      </c>
      <c r="T34" s="25">
        <v>0</v>
      </c>
      <c r="U34" s="88">
        <v>3721.7696660140814</v>
      </c>
      <c r="V34" s="88">
        <v>876.87351575220919</v>
      </c>
      <c r="W34" s="89">
        <v>16168.69607321086</v>
      </c>
    </row>
    <row r="35" spans="1:25">
      <c r="A35" s="114">
        <v>79</v>
      </c>
      <c r="B35" s="103">
        <v>30.861677381515499</v>
      </c>
      <c r="C35" s="104">
        <v>0</v>
      </c>
      <c r="D35" s="104">
        <v>0</v>
      </c>
      <c r="E35" s="104">
        <v>0</v>
      </c>
      <c r="F35" s="104">
        <v>0</v>
      </c>
      <c r="G35" s="104">
        <v>0.13956471875470514</v>
      </c>
      <c r="H35" s="104">
        <v>353.73753814738996</v>
      </c>
      <c r="I35" s="104">
        <v>196.5373425230822</v>
      </c>
      <c r="J35" s="104">
        <v>0</v>
      </c>
      <c r="K35" s="115">
        <v>42058.787374469117</v>
      </c>
      <c r="L35" s="115">
        <v>8799.1997743044685</v>
      </c>
      <c r="M35" s="116">
        <v>0</v>
      </c>
      <c r="N35" s="116">
        <v>0</v>
      </c>
      <c r="O35" s="116">
        <v>0</v>
      </c>
      <c r="P35" s="116">
        <v>0</v>
      </c>
      <c r="Q35" s="116">
        <v>0.13956471875470514</v>
      </c>
      <c r="R35" s="116">
        <v>46.22009436108047</v>
      </c>
      <c r="S35" s="116">
        <v>7.2315291138523889</v>
      </c>
      <c r="T35" s="116">
        <v>0</v>
      </c>
      <c r="U35" s="115">
        <v>3734.3467306102661</v>
      </c>
      <c r="V35" s="115">
        <v>781.26985965142194</v>
      </c>
      <c r="W35" s="106">
        <v>16589.918639173113</v>
      </c>
    </row>
    <row r="36" spans="1:25">
      <c r="A36" s="87">
        <v>85</v>
      </c>
      <c r="B36" s="23">
        <v>31.963551515579201</v>
      </c>
      <c r="C36" s="24">
        <v>0</v>
      </c>
      <c r="D36" s="24">
        <v>0</v>
      </c>
      <c r="E36" s="24">
        <v>0</v>
      </c>
      <c r="F36" s="24">
        <v>0</v>
      </c>
      <c r="G36" s="24">
        <v>0</v>
      </c>
      <c r="H36" s="24">
        <v>184.70500366244238</v>
      </c>
      <c r="I36" s="24">
        <v>389.29957208290489</v>
      </c>
      <c r="J36" s="24">
        <v>0</v>
      </c>
      <c r="K36" s="88">
        <v>44402.771477126764</v>
      </c>
      <c r="L36" s="88">
        <v>8248.8893576658193</v>
      </c>
      <c r="M36" s="25">
        <v>0</v>
      </c>
      <c r="N36" s="25">
        <v>0</v>
      </c>
      <c r="O36" s="25">
        <v>0</v>
      </c>
      <c r="P36" s="25">
        <v>0</v>
      </c>
      <c r="Q36" s="25">
        <v>0</v>
      </c>
      <c r="R36" s="25">
        <v>41.719977386654563</v>
      </c>
      <c r="S36" s="25">
        <v>10.637002351809448</v>
      </c>
      <c r="T36" s="25">
        <v>0</v>
      </c>
      <c r="U36" s="88">
        <v>3702.9719296641101</v>
      </c>
      <c r="V36" s="88">
        <v>687.91664858299259</v>
      </c>
      <c r="W36" s="89">
        <v>16820.878082185882</v>
      </c>
    </row>
    <row r="37" spans="1:25">
      <c r="A37" s="114">
        <v>91</v>
      </c>
      <c r="B37" s="108">
        <v>32.997682529449399</v>
      </c>
      <c r="C37" s="109">
        <v>0</v>
      </c>
      <c r="D37" s="109">
        <v>0</v>
      </c>
      <c r="E37" s="109">
        <v>0</v>
      </c>
      <c r="F37" s="109">
        <v>0</v>
      </c>
      <c r="G37" s="109">
        <v>0</v>
      </c>
      <c r="H37" s="109">
        <v>18.223482425486402</v>
      </c>
      <c r="I37" s="109">
        <v>508.59279528819206</v>
      </c>
      <c r="J37" s="109">
        <v>69.986155367919778</v>
      </c>
      <c r="K37" s="117">
        <v>46320.089987492822</v>
      </c>
      <c r="L37" s="117">
        <v>7641.0627128497244</v>
      </c>
      <c r="M37" s="118">
        <v>0</v>
      </c>
      <c r="N37" s="118">
        <v>0</v>
      </c>
      <c r="O37" s="118">
        <v>0</v>
      </c>
      <c r="P37" s="118">
        <v>0</v>
      </c>
      <c r="Q37" s="118">
        <v>0</v>
      </c>
      <c r="R37" s="118">
        <v>18.223482425486402</v>
      </c>
      <c r="S37" s="118">
        <v>508.59279528819206</v>
      </c>
      <c r="T37" s="118">
        <v>69.986155367919778</v>
      </c>
      <c r="U37" s="117">
        <v>46320.089987492822</v>
      </c>
      <c r="V37" s="117">
        <v>7641.0627128497244</v>
      </c>
      <c r="W37" s="111">
        <v>16900.96808595278</v>
      </c>
    </row>
    <row r="38" spans="1:25" s="10" customFormat="1">
      <c r="A38" s="26" t="s">
        <v>13</v>
      </c>
      <c r="B38" s="27" t="s">
        <v>27</v>
      </c>
      <c r="C38" s="27" t="s">
        <v>27</v>
      </c>
      <c r="D38" s="27" t="s">
        <v>27</v>
      </c>
      <c r="E38" s="27" t="s">
        <v>27</v>
      </c>
      <c r="F38" s="27" t="s">
        <v>27</v>
      </c>
      <c r="G38" s="27" t="s">
        <v>27</v>
      </c>
      <c r="H38" s="27" t="s">
        <v>27</v>
      </c>
      <c r="I38" s="27" t="s">
        <v>27</v>
      </c>
      <c r="J38" s="27" t="s">
        <v>27</v>
      </c>
      <c r="K38" s="27" t="s">
        <v>27</v>
      </c>
      <c r="L38" s="27" t="s">
        <v>27</v>
      </c>
      <c r="M38" s="26">
        <v>18.916391403909149</v>
      </c>
      <c r="N38" s="26">
        <v>75.53999752288459</v>
      </c>
      <c r="O38" s="26">
        <v>44.657734973510628</v>
      </c>
      <c r="P38" s="26">
        <v>97.51731897545082</v>
      </c>
      <c r="Q38" s="26">
        <v>160.9414067004279</v>
      </c>
      <c r="R38" s="26">
        <v>170.02567757997193</v>
      </c>
      <c r="S38" s="26">
        <v>529.18807974836375</v>
      </c>
      <c r="T38" s="26">
        <v>69.986155367919778</v>
      </c>
      <c r="U38" s="27" t="s">
        <v>27</v>
      </c>
      <c r="V38" s="90">
        <v>16900.96808595278</v>
      </c>
      <c r="W38" s="28" t="s">
        <v>27</v>
      </c>
    </row>
    <row r="39" spans="1:25">
      <c r="A39" s="17"/>
      <c r="V39" s="9"/>
    </row>
    <row r="40" spans="1:25">
      <c r="H40" s="15"/>
      <c r="I40" s="15"/>
      <c r="J40" s="15"/>
      <c r="W40" s="15" t="s">
        <v>77</v>
      </c>
    </row>
    <row r="41" spans="1:25">
      <c r="V41" s="9"/>
      <c r="W41" s="15" t="s">
        <v>78</v>
      </c>
      <c r="X41" s="9"/>
      <c r="Y41" s="9"/>
    </row>
    <row r="42" spans="1:25">
      <c r="A42" s="8"/>
      <c r="B42" s="8"/>
      <c r="C42" s="8"/>
      <c r="D42" s="8"/>
      <c r="E42" s="8"/>
      <c r="F42" s="8"/>
      <c r="G42" s="8"/>
      <c r="H42" s="8"/>
      <c r="I42" s="8"/>
      <c r="J42" s="8"/>
      <c r="V42" s="9"/>
      <c r="W42" s="15"/>
      <c r="X42" s="9"/>
      <c r="Y42" s="15"/>
    </row>
    <row r="43" spans="1:25">
      <c r="V43" s="9"/>
      <c r="W43" s="9"/>
      <c r="X43" s="9"/>
      <c r="Y43" s="9"/>
    </row>
    <row r="44" spans="1:25"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spans="1:25">
      <c r="V45" s="9"/>
      <c r="W45" s="9"/>
      <c r="X45" s="9"/>
      <c r="Y45" s="9"/>
    </row>
    <row r="46" spans="1:25">
      <c r="V46" s="9"/>
      <c r="W46" s="9"/>
      <c r="X46" s="9"/>
      <c r="Y46" s="9"/>
    </row>
  </sheetData>
  <mergeCells count="17">
    <mergeCell ref="B23:B24"/>
    <mergeCell ref="D1:T1"/>
    <mergeCell ref="A23:A24"/>
    <mergeCell ref="C23:J23"/>
    <mergeCell ref="A6:A7"/>
    <mergeCell ref="B6:B7"/>
    <mergeCell ref="C6:F6"/>
    <mergeCell ref="G6:J6"/>
    <mergeCell ref="K6:N6"/>
    <mergeCell ref="K23:L23"/>
    <mergeCell ref="W23:W24"/>
    <mergeCell ref="V6:V7"/>
    <mergeCell ref="W6:W7"/>
    <mergeCell ref="U6:U7"/>
    <mergeCell ref="M23:T23"/>
    <mergeCell ref="O6:T6"/>
    <mergeCell ref="U23:V23"/>
  </mergeCells>
  <pageMargins left="0.70866141732283472" right="0.70866141732283472" top="0.74803149606299213" bottom="0.74803149606299213" header="0.31496062992125984" footer="0.31496062992125984"/>
  <pageSetup paperSize="9" scale="7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46"/>
  <sheetViews>
    <sheetView workbookViewId="0">
      <selection activeCell="W23" sqref="W23:W24"/>
    </sheetView>
  </sheetViews>
  <sheetFormatPr baseColWidth="10" defaultRowHeight="15"/>
  <cols>
    <col min="1" max="21" width="6.7109375" style="9" customWidth="1"/>
    <col min="22" max="23" width="6.7109375" style="17" customWidth="1"/>
    <col min="24" max="16384" width="11.42578125" style="17"/>
  </cols>
  <sheetData>
    <row r="1" spans="1:27" ht="30.75" customHeight="1">
      <c r="D1" s="151" t="s">
        <v>59</v>
      </c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</row>
    <row r="2" spans="1:27">
      <c r="A2" s="12"/>
      <c r="B2" s="14"/>
      <c r="C2" s="13"/>
      <c r="D2" s="13"/>
      <c r="E2" s="13"/>
      <c r="F2" s="13"/>
      <c r="G2" s="13"/>
      <c r="H2" s="13"/>
      <c r="I2" s="13"/>
      <c r="J2" s="13"/>
      <c r="K2" s="14"/>
      <c r="L2" s="13"/>
      <c r="M2" s="13"/>
      <c r="U2" s="15"/>
      <c r="V2" s="15"/>
      <c r="W2" s="15"/>
    </row>
    <row r="3" spans="1:27">
      <c r="A3" s="12" t="s">
        <v>85</v>
      </c>
      <c r="B3" s="12"/>
      <c r="C3" s="12"/>
      <c r="D3" s="14"/>
      <c r="E3" s="14" t="s">
        <v>80</v>
      </c>
      <c r="F3" s="14"/>
      <c r="G3" s="13"/>
      <c r="H3" s="13"/>
      <c r="I3" s="14"/>
      <c r="J3" s="13"/>
      <c r="K3" s="14" t="s">
        <v>81</v>
      </c>
      <c r="L3" s="14"/>
      <c r="M3" s="14"/>
      <c r="N3" s="13"/>
      <c r="R3" s="14" t="s">
        <v>83</v>
      </c>
      <c r="V3" s="9"/>
      <c r="W3" s="9"/>
    </row>
    <row r="4" spans="1:27">
      <c r="A4" s="13"/>
      <c r="B4" s="14"/>
      <c r="C4" s="13"/>
      <c r="D4" s="14"/>
      <c r="E4" s="14" t="s">
        <v>36</v>
      </c>
      <c r="F4" s="14"/>
      <c r="G4" s="13"/>
      <c r="H4" s="13"/>
      <c r="I4" s="14"/>
      <c r="J4" s="13"/>
      <c r="K4" s="14" t="s">
        <v>82</v>
      </c>
      <c r="L4" s="13"/>
      <c r="M4" s="13"/>
      <c r="N4" s="13"/>
      <c r="O4" s="8"/>
      <c r="P4" s="8"/>
      <c r="Q4" s="8"/>
      <c r="R4" s="14" t="s">
        <v>84</v>
      </c>
      <c r="S4" s="8"/>
      <c r="T4" s="8"/>
      <c r="U4" s="8"/>
      <c r="V4" s="8"/>
      <c r="W4" s="13"/>
    </row>
    <row r="5" spans="1:27">
      <c r="A5" s="12" t="s">
        <v>0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7">
      <c r="A6" s="185" t="s">
        <v>1</v>
      </c>
      <c r="B6" s="185" t="s">
        <v>2</v>
      </c>
      <c r="C6" s="198" t="s">
        <v>109</v>
      </c>
      <c r="D6" s="199"/>
      <c r="E6" s="199"/>
      <c r="F6" s="199"/>
      <c r="G6" s="199" t="s">
        <v>110</v>
      </c>
      <c r="H6" s="199"/>
      <c r="I6" s="199"/>
      <c r="J6" s="199"/>
      <c r="K6" s="199" t="s">
        <v>111</v>
      </c>
      <c r="L6" s="199"/>
      <c r="M6" s="199"/>
      <c r="N6" s="199"/>
      <c r="O6" s="195" t="s">
        <v>3</v>
      </c>
      <c r="P6" s="196"/>
      <c r="Q6" s="196"/>
      <c r="R6" s="196"/>
      <c r="S6" s="196"/>
      <c r="T6" s="197"/>
      <c r="U6" s="187" t="s">
        <v>14</v>
      </c>
      <c r="V6" s="193" t="s">
        <v>64</v>
      </c>
      <c r="W6" s="187" t="s">
        <v>31</v>
      </c>
    </row>
    <row r="7" spans="1:27">
      <c r="A7" s="186"/>
      <c r="B7" s="186"/>
      <c r="C7" s="101" t="s">
        <v>4</v>
      </c>
      <c r="D7" s="101" t="s">
        <v>5</v>
      </c>
      <c r="E7" s="101" t="s">
        <v>6</v>
      </c>
      <c r="F7" s="101" t="s">
        <v>7</v>
      </c>
      <c r="G7" s="101" t="s">
        <v>4</v>
      </c>
      <c r="H7" s="101" t="s">
        <v>5</v>
      </c>
      <c r="I7" s="101" t="s">
        <v>6</v>
      </c>
      <c r="J7" s="101" t="s">
        <v>7</v>
      </c>
      <c r="K7" s="101" t="s">
        <v>4</v>
      </c>
      <c r="L7" s="101" t="s">
        <v>5</v>
      </c>
      <c r="M7" s="101" t="s">
        <v>6</v>
      </c>
      <c r="N7" s="101" t="s">
        <v>7</v>
      </c>
      <c r="O7" s="99" t="s">
        <v>15</v>
      </c>
      <c r="P7" s="101" t="s">
        <v>8</v>
      </c>
      <c r="Q7" s="101" t="s">
        <v>9</v>
      </c>
      <c r="R7" s="101" t="s">
        <v>10</v>
      </c>
      <c r="S7" s="101" t="s">
        <v>11</v>
      </c>
      <c r="T7" s="101" t="s">
        <v>12</v>
      </c>
      <c r="U7" s="192"/>
      <c r="V7" s="194"/>
      <c r="W7" s="188"/>
    </row>
    <row r="8" spans="1:27" s="95" customFormat="1" ht="12" customHeight="1">
      <c r="A8" s="92" t="s">
        <v>65</v>
      </c>
      <c r="B8" s="92" t="s">
        <v>66</v>
      </c>
      <c r="C8" s="92" t="s">
        <v>67</v>
      </c>
      <c r="D8" s="92" t="s">
        <v>68</v>
      </c>
      <c r="E8" s="92" t="s">
        <v>69</v>
      </c>
      <c r="F8" s="92" t="s">
        <v>70</v>
      </c>
      <c r="G8" s="92" t="s">
        <v>67</v>
      </c>
      <c r="H8" s="92" t="s">
        <v>68</v>
      </c>
      <c r="I8" s="92" t="s">
        <v>69</v>
      </c>
      <c r="J8" s="92" t="s">
        <v>70</v>
      </c>
      <c r="K8" s="92" t="s">
        <v>67</v>
      </c>
      <c r="L8" s="92" t="s">
        <v>68</v>
      </c>
      <c r="M8" s="92" t="s">
        <v>69</v>
      </c>
      <c r="N8" s="92" t="s">
        <v>70</v>
      </c>
      <c r="O8" s="92" t="s">
        <v>71</v>
      </c>
      <c r="P8" s="92" t="s">
        <v>72</v>
      </c>
      <c r="Q8" s="92" t="s">
        <v>72</v>
      </c>
      <c r="R8" s="92" t="s">
        <v>73</v>
      </c>
      <c r="S8" s="92" t="s">
        <v>73</v>
      </c>
      <c r="T8" s="92" t="s">
        <v>70</v>
      </c>
      <c r="U8" s="93"/>
      <c r="V8" s="94" t="s">
        <v>74</v>
      </c>
      <c r="W8" s="92" t="s">
        <v>66</v>
      </c>
    </row>
    <row r="9" spans="1:27">
      <c r="A9" s="22">
        <v>29</v>
      </c>
      <c r="B9" s="19">
        <v>13.3399129304885</v>
      </c>
      <c r="C9" s="18">
        <v>1707.4349999999999</v>
      </c>
      <c r="D9" s="18">
        <v>45.510090158597322</v>
      </c>
      <c r="E9" s="19">
        <v>28.14165971621296</v>
      </c>
      <c r="F9" s="18">
        <v>169.94287100570003</v>
      </c>
      <c r="G9" s="18">
        <v>557.41499999999996</v>
      </c>
      <c r="H9" s="18">
        <v>42.567364597068504</v>
      </c>
      <c r="I9" s="19">
        <v>8.0375245758974501</v>
      </c>
      <c r="J9" s="18">
        <v>47.152495983054223</v>
      </c>
      <c r="K9" s="18">
        <v>1150.02</v>
      </c>
      <c r="L9" s="18">
        <v>46.869997770056301</v>
      </c>
      <c r="M9" s="19">
        <v>20.10413514031551</v>
      </c>
      <c r="N9" s="18">
        <v>122.7903750226458</v>
      </c>
      <c r="O9" s="19">
        <v>1.5001471855114044</v>
      </c>
      <c r="P9" s="20">
        <v>1.4034190985809503</v>
      </c>
      <c r="Q9" s="20">
        <v>0.97040205917975719</v>
      </c>
      <c r="R9" s="19">
        <v>14.155881911300549</v>
      </c>
      <c r="S9" s="19">
        <v>5.8600990001965529</v>
      </c>
      <c r="T9" s="91">
        <v>169.94287100570003</v>
      </c>
      <c r="U9" s="18">
        <v>89.414496385413031</v>
      </c>
      <c r="V9" s="19">
        <v>32.64633792794455</v>
      </c>
      <c r="W9" s="23">
        <v>3.1687063016179082</v>
      </c>
      <c r="Y9" s="16"/>
      <c r="Z9" s="16"/>
      <c r="AA9" s="16"/>
    </row>
    <row r="10" spans="1:27">
      <c r="A10" s="102">
        <v>35</v>
      </c>
      <c r="B10" s="103">
        <v>15.786136530876099</v>
      </c>
      <c r="C10" s="104">
        <v>1148.3100000000002</v>
      </c>
      <c r="D10" s="104">
        <v>55.870880883124727</v>
      </c>
      <c r="E10" s="103">
        <v>28.524649731801212</v>
      </c>
      <c r="F10" s="104">
        <v>207.7256664904491</v>
      </c>
      <c r="G10" s="104">
        <v>250.11000000000013</v>
      </c>
      <c r="H10" s="104">
        <v>46.004756367255837</v>
      </c>
      <c r="I10" s="103">
        <v>4.2123714673408195</v>
      </c>
      <c r="J10" s="104">
        <v>28.381910429678385</v>
      </c>
      <c r="K10" s="104">
        <v>898.2</v>
      </c>
      <c r="L10" s="104">
        <v>58.321842474551033</v>
      </c>
      <c r="M10" s="103">
        <v>24.312278264460392</v>
      </c>
      <c r="N10" s="104">
        <v>179.34375606077072</v>
      </c>
      <c r="O10" s="103">
        <v>1.4467302391725834</v>
      </c>
      <c r="P10" s="105">
        <v>1.2868311833315851</v>
      </c>
      <c r="Q10" s="105">
        <v>1.0446335516485332</v>
      </c>
      <c r="R10" s="103">
        <v>14.611804898888542</v>
      </c>
      <c r="S10" s="103">
        <v>7.2822332135286665</v>
      </c>
      <c r="T10" s="106">
        <v>254.87816247350332</v>
      </c>
      <c r="U10" s="104">
        <v>85.034368685464941</v>
      </c>
      <c r="V10" s="103">
        <v>21.780703816913562</v>
      </c>
      <c r="W10" s="103">
        <v>3.5854870543379929</v>
      </c>
    </row>
    <row r="11" spans="1:27">
      <c r="A11" s="100">
        <v>41</v>
      </c>
      <c r="B11" s="23">
        <v>17.996596780776901</v>
      </c>
      <c r="C11" s="24">
        <v>896.67</v>
      </c>
      <c r="D11" s="24">
        <v>67.002223909586533</v>
      </c>
      <c r="E11" s="23">
        <v>32.033265364449903</v>
      </c>
      <c r="F11" s="24">
        <v>267.01458545410196</v>
      </c>
      <c r="G11" s="24">
        <v>160.64999999999998</v>
      </c>
      <c r="H11" s="24">
        <v>56.891801811270128</v>
      </c>
      <c r="I11" s="23">
        <v>4.1378071219924522</v>
      </c>
      <c r="J11" s="24">
        <v>33.015148887728685</v>
      </c>
      <c r="K11" s="24">
        <v>736.02</v>
      </c>
      <c r="L11" s="24">
        <v>69.012359215327351</v>
      </c>
      <c r="M11" s="23">
        <v>27.895458242457451</v>
      </c>
      <c r="N11" s="24">
        <v>233.99943656637328</v>
      </c>
      <c r="O11" s="23">
        <v>1.3978031089118563</v>
      </c>
      <c r="P11" s="21">
        <v>1.1858024889454353</v>
      </c>
      <c r="Q11" s="21">
        <v>1.0800771075045894</v>
      </c>
      <c r="R11" s="23">
        <v>14.627986518280059</v>
      </c>
      <c r="S11" s="23">
        <v>8.3548534601666962</v>
      </c>
      <c r="T11" s="89">
        <v>342.54899186683457</v>
      </c>
      <c r="U11" s="24">
        <v>81.924421768716456</v>
      </c>
      <c r="V11" s="23">
        <v>17.91629027401385</v>
      </c>
      <c r="W11" s="23">
        <v>3.9608635036178179</v>
      </c>
    </row>
    <row r="12" spans="1:27">
      <c r="A12" s="102">
        <v>47</v>
      </c>
      <c r="B12" s="103">
        <v>19.965144802093501</v>
      </c>
      <c r="C12" s="104">
        <v>734.4</v>
      </c>
      <c r="D12" s="104">
        <v>77.399177868798489</v>
      </c>
      <c r="E12" s="103">
        <v>35.010273176130063</v>
      </c>
      <c r="F12" s="104">
        <v>321.76735567605363</v>
      </c>
      <c r="G12" s="104">
        <v>127.08000000000004</v>
      </c>
      <c r="H12" s="104">
        <v>67.642534870015268</v>
      </c>
      <c r="I12" s="103">
        <v>4.627080876000246</v>
      </c>
      <c r="J12" s="104">
        <v>41.561312717427313</v>
      </c>
      <c r="K12" s="104">
        <v>607.31999999999994</v>
      </c>
      <c r="L12" s="104">
        <v>79.288981923479255</v>
      </c>
      <c r="M12" s="103">
        <v>30.383192300129817</v>
      </c>
      <c r="N12" s="104">
        <v>280.20604295862631</v>
      </c>
      <c r="O12" s="103">
        <v>1.370860271736883</v>
      </c>
      <c r="P12" s="105">
        <v>1.0923102421552955</v>
      </c>
      <c r="Q12" s="105">
        <v>1.0935739647098039</v>
      </c>
      <c r="R12" s="103">
        <v>14.275706898429149</v>
      </c>
      <c r="S12" s="103">
        <v>9.155678956947126</v>
      </c>
      <c r="T12" s="106">
        <v>430.31691097651492</v>
      </c>
      <c r="U12" s="104">
        <v>79.106012861466553</v>
      </c>
      <c r="V12" s="103">
        <v>17.303921568627455</v>
      </c>
      <c r="W12" s="103">
        <v>4.36039559740217</v>
      </c>
    </row>
    <row r="13" spans="1:27">
      <c r="A13" s="100">
        <v>53</v>
      </c>
      <c r="B13" s="23">
        <v>21.706965242385799</v>
      </c>
      <c r="C13" s="24">
        <v>606.05999999999995</v>
      </c>
      <c r="D13" s="24">
        <v>87.514143553900553</v>
      </c>
      <c r="E13" s="23">
        <v>36.937053753061591</v>
      </c>
      <c r="F13" s="24">
        <v>365.86028434920121</v>
      </c>
      <c r="G13" s="24">
        <v>109.52999999999992</v>
      </c>
      <c r="H13" s="24">
        <v>77.425875553306668</v>
      </c>
      <c r="I13" s="23">
        <v>5.2251104364600636</v>
      </c>
      <c r="J13" s="24">
        <v>51.007780017805544</v>
      </c>
      <c r="K13" s="24">
        <v>496.53000000000003</v>
      </c>
      <c r="L13" s="24">
        <v>89.586715323887262</v>
      </c>
      <c r="M13" s="23">
        <v>31.711943316601527</v>
      </c>
      <c r="N13" s="24">
        <v>314.85250433139566</v>
      </c>
      <c r="O13" s="23">
        <v>1.3684553259472902</v>
      </c>
      <c r="P13" s="21">
        <v>1.00293429457464</v>
      </c>
      <c r="Q13" s="21">
        <v>1.0934309017791048</v>
      </c>
      <c r="R13" s="23">
        <v>13.655031086775759</v>
      </c>
      <c r="S13" s="23">
        <v>9.7353047616432047</v>
      </c>
      <c r="T13" s="89">
        <v>515.97115236708987</v>
      </c>
      <c r="U13" s="24">
        <v>76.121155118436349</v>
      </c>
      <c r="V13" s="23">
        <v>18.072468072468059</v>
      </c>
      <c r="W13" s="23">
        <v>4.8223856405572567</v>
      </c>
      <c r="Y13" s="16"/>
      <c r="AA13" s="16"/>
    </row>
    <row r="14" spans="1:27">
      <c r="A14" s="102">
        <v>59</v>
      </c>
      <c r="B14" s="103">
        <v>23.2629078350067</v>
      </c>
      <c r="C14" s="104">
        <v>495.71999999999997</v>
      </c>
      <c r="D14" s="104">
        <v>97.797447279571003</v>
      </c>
      <c r="E14" s="103">
        <v>37.729549084049367</v>
      </c>
      <c r="F14" s="104">
        <v>396.78269085205022</v>
      </c>
      <c r="G14" s="104">
        <v>78.119999999999948</v>
      </c>
      <c r="H14" s="104">
        <v>88.130920128201893</v>
      </c>
      <c r="I14" s="103">
        <v>4.8284637956068437</v>
      </c>
      <c r="J14" s="104">
        <v>50.377111987155331</v>
      </c>
      <c r="K14" s="104">
        <v>417.6</v>
      </c>
      <c r="L14" s="104">
        <v>99.501539215506625</v>
      </c>
      <c r="M14" s="103">
        <v>32.901085288442523</v>
      </c>
      <c r="N14" s="104">
        <v>346.40557886489489</v>
      </c>
      <c r="O14" s="103">
        <v>1.3641524605753095</v>
      </c>
      <c r="P14" s="105">
        <v>0.92955382712813994</v>
      </c>
      <c r="Q14" s="105">
        <v>1.0842278569786508</v>
      </c>
      <c r="R14" s="103">
        <v>13.0720035470061</v>
      </c>
      <c r="S14" s="103">
        <v>10.133920998097363</v>
      </c>
      <c r="T14" s="106">
        <v>597.90133888774437</v>
      </c>
      <c r="U14" s="104">
        <v>73.448693288358783</v>
      </c>
      <c r="V14" s="103">
        <v>15.758896151053003</v>
      </c>
      <c r="W14" s="103">
        <v>5.2584099270776683</v>
      </c>
      <c r="Y14" s="16"/>
    </row>
    <row r="15" spans="1:27">
      <c r="A15" s="100">
        <v>65</v>
      </c>
      <c r="B15" s="23">
        <v>24.668623624801601</v>
      </c>
      <c r="C15" s="24">
        <v>416.97</v>
      </c>
      <c r="D15" s="24">
        <v>107.68645397895848</v>
      </c>
      <c r="E15" s="23">
        <v>38.478408251211363</v>
      </c>
      <c r="F15" s="24">
        <v>424.83760014693149</v>
      </c>
      <c r="G15" s="24">
        <v>59.220000000000027</v>
      </c>
      <c r="H15" s="24">
        <v>97.472388426191799</v>
      </c>
      <c r="I15" s="23">
        <v>4.4773573191704088</v>
      </c>
      <c r="J15" s="24">
        <v>49.179060838545297</v>
      </c>
      <c r="K15" s="24">
        <v>357.75</v>
      </c>
      <c r="L15" s="24">
        <v>109.28518233173715</v>
      </c>
      <c r="M15" s="23">
        <v>34.001050932040954</v>
      </c>
      <c r="N15" s="24">
        <v>375.6585393083862</v>
      </c>
      <c r="O15" s="23">
        <v>1.3590304272498248</v>
      </c>
      <c r="P15" s="21">
        <v>0.8706125385650102</v>
      </c>
      <c r="Q15" s="21">
        <v>1.0699502542232191</v>
      </c>
      <c r="R15" s="23">
        <v>12.567675956149353</v>
      </c>
      <c r="S15" s="23">
        <v>10.405128617996629</v>
      </c>
      <c r="T15" s="89">
        <v>676.33336016978092</v>
      </c>
      <c r="U15" s="24">
        <v>70.914249398056015</v>
      </c>
      <c r="V15" s="23">
        <v>14.202460608676889</v>
      </c>
      <c r="W15" s="23">
        <v>5.6812625893179867</v>
      </c>
      <c r="Y15" s="16"/>
    </row>
    <row r="16" spans="1:27">
      <c r="A16" s="102">
        <v>71</v>
      </c>
      <c r="B16" s="103">
        <v>25.951462226867601</v>
      </c>
      <c r="C16" s="104">
        <v>357.39000000000004</v>
      </c>
      <c r="D16" s="104">
        <v>117.4393648952361</v>
      </c>
      <c r="E16" s="103">
        <v>39.224726163431015</v>
      </c>
      <c r="F16" s="104">
        <v>451.06459504528232</v>
      </c>
      <c r="G16" s="104">
        <v>45.720000000000027</v>
      </c>
      <c r="H16" s="104">
        <v>107.65818406714101</v>
      </c>
      <c r="I16" s="103">
        <v>4.2168723812157651</v>
      </c>
      <c r="J16" s="104">
        <v>48.449397767157905</v>
      </c>
      <c r="K16" s="104">
        <v>311.67</v>
      </c>
      <c r="L16" s="104">
        <v>118.80649256368589</v>
      </c>
      <c r="M16" s="103">
        <v>35.00785378221525</v>
      </c>
      <c r="N16" s="104">
        <v>402.61519727812441</v>
      </c>
      <c r="O16" s="103">
        <v>1.3559725860944833</v>
      </c>
      <c r="P16" s="105">
        <v>0.82262373279696044</v>
      </c>
      <c r="Q16" s="105">
        <v>1.0531048134633705</v>
      </c>
      <c r="R16" s="103">
        <v>12.136800232991996</v>
      </c>
      <c r="S16" s="103">
        <v>10.587879097277142</v>
      </c>
      <c r="T16" s="106">
        <v>751.7394159066771</v>
      </c>
      <c r="U16" s="104">
        <v>68.623289285420924</v>
      </c>
      <c r="V16" s="103">
        <v>12.792747418786206</v>
      </c>
      <c r="W16" s="103">
        <v>6.0867740956200143</v>
      </c>
      <c r="Y16" s="16"/>
    </row>
    <row r="17" spans="1:25">
      <c r="A17" s="100">
        <v>77</v>
      </c>
      <c r="B17" s="23">
        <v>27.125672653198201</v>
      </c>
      <c r="C17" s="24">
        <v>311.49</v>
      </c>
      <c r="D17" s="24">
        <v>126.94232808025279</v>
      </c>
      <c r="E17" s="23">
        <v>39.943596178997012</v>
      </c>
      <c r="F17" s="24">
        <v>475.43599867607639</v>
      </c>
      <c r="G17" s="24">
        <v>36.54000000000002</v>
      </c>
      <c r="H17" s="24">
        <v>117.26121767107007</v>
      </c>
      <c r="I17" s="23">
        <v>3.998227283276222</v>
      </c>
      <c r="J17" s="24">
        <v>47.661236884596576</v>
      </c>
      <c r="K17" s="24">
        <v>274.95</v>
      </c>
      <c r="L17" s="24">
        <v>128.17388333259396</v>
      </c>
      <c r="M17" s="23">
        <v>35.94536889572079</v>
      </c>
      <c r="N17" s="24">
        <v>427.77476179147982</v>
      </c>
      <c r="O17" s="23">
        <v>1.3541846393355002</v>
      </c>
      <c r="P17" s="21">
        <v>0.78361524909299973</v>
      </c>
      <c r="Q17" s="21">
        <v>1.0351452487361177</v>
      </c>
      <c r="R17" s="23">
        <v>11.780668909725156</v>
      </c>
      <c r="S17" s="23">
        <v>10.708574250709468</v>
      </c>
      <c r="T17" s="89">
        <v>824.56021730462908</v>
      </c>
      <c r="U17" s="24">
        <v>66.486098193530012</v>
      </c>
      <c r="V17" s="23">
        <v>11.730713666570361</v>
      </c>
      <c r="W17" s="23">
        <v>6.4804896619441692</v>
      </c>
      <c r="Y17" s="16"/>
    </row>
    <row r="18" spans="1:25">
      <c r="A18" s="102">
        <v>83</v>
      </c>
      <c r="B18" s="103">
        <v>28.214953746795601</v>
      </c>
      <c r="C18" s="104">
        <v>274.95</v>
      </c>
      <c r="D18" s="104">
        <v>136.29899116860696</v>
      </c>
      <c r="E18" s="103">
        <v>40.647060390278789</v>
      </c>
      <c r="F18" s="104">
        <v>498.45877524983075</v>
      </c>
      <c r="G18" s="104">
        <v>29.789999999999992</v>
      </c>
      <c r="H18" s="104">
        <v>126.92788547547434</v>
      </c>
      <c r="I18" s="103">
        <v>3.8192204699619268</v>
      </c>
      <c r="J18" s="104">
        <v>47.016932828185816</v>
      </c>
      <c r="K18" s="104">
        <v>245.16</v>
      </c>
      <c r="L18" s="104">
        <v>137.39415234495394</v>
      </c>
      <c r="M18" s="103">
        <v>36.827839920316862</v>
      </c>
      <c r="N18" s="104">
        <v>451.44184242164494</v>
      </c>
      <c r="O18" s="103">
        <v>1.3564505882989029</v>
      </c>
      <c r="P18" s="105">
        <v>0.74871775854007439</v>
      </c>
      <c r="Q18" s="105">
        <v>1.0169623571956512</v>
      </c>
      <c r="R18" s="103">
        <v>11.454009293395652</v>
      </c>
      <c r="S18" s="103">
        <v>10.786075069433494</v>
      </c>
      <c r="T18" s="106">
        <v>895.24423076298001</v>
      </c>
      <c r="U18" s="104">
        <v>64.515039322606469</v>
      </c>
      <c r="V18" s="103">
        <v>10.834697217675938</v>
      </c>
      <c r="W18" s="103">
        <v>6.8629348763807876</v>
      </c>
      <c r="Y18" s="16"/>
    </row>
    <row r="19" spans="1:25">
      <c r="A19" s="100">
        <v>89</v>
      </c>
      <c r="B19" s="23">
        <v>29.233453971862701</v>
      </c>
      <c r="C19" s="24">
        <v>245.16</v>
      </c>
      <c r="D19" s="24">
        <v>145.53285587474736</v>
      </c>
      <c r="E19" s="23">
        <v>41.320146471557308</v>
      </c>
      <c r="F19" s="24">
        <v>520.16589818201885</v>
      </c>
      <c r="G19" s="24">
        <v>24.75</v>
      </c>
      <c r="H19" s="24">
        <v>136.23351574803598</v>
      </c>
      <c r="I19" s="23">
        <v>3.6553862027482182</v>
      </c>
      <c r="J19" s="24">
        <v>46.218374533385145</v>
      </c>
      <c r="K19" s="24">
        <v>220.41</v>
      </c>
      <c r="L19" s="24">
        <v>146.54023663389333</v>
      </c>
      <c r="M19" s="23">
        <v>37.66476026880909</v>
      </c>
      <c r="N19" s="24">
        <v>473.94752364863371</v>
      </c>
      <c r="O19" s="23">
        <v>1.3605000310202797</v>
      </c>
      <c r="P19" s="21">
        <v>0.71884893408789097</v>
      </c>
      <c r="Q19" s="21">
        <v>0.99887845166830913</v>
      </c>
      <c r="R19" s="23">
        <v>11.177049888890849</v>
      </c>
      <c r="S19" s="23">
        <v>10.831104342959033</v>
      </c>
      <c r="T19" s="89">
        <v>963.96828652335398</v>
      </c>
      <c r="U19" s="24">
        <v>62.67193662755259</v>
      </c>
      <c r="V19" s="23">
        <v>10.095447870778267</v>
      </c>
      <c r="W19" s="23">
        <v>7.2380076347140161</v>
      </c>
      <c r="Y19" s="16"/>
    </row>
    <row r="20" spans="1:25">
      <c r="A20" s="107">
        <v>95</v>
      </c>
      <c r="B20" s="108">
        <v>30.200856893539399</v>
      </c>
      <c r="C20" s="109">
        <v>220.41</v>
      </c>
      <c r="D20" s="109">
        <v>154.70323682001501</v>
      </c>
      <c r="E20" s="108">
        <v>41.977853873336436</v>
      </c>
      <c r="F20" s="109">
        <v>541.0098229819788</v>
      </c>
      <c r="G20" s="109">
        <v>220.41</v>
      </c>
      <c r="H20" s="109">
        <v>154.70323682001501</v>
      </c>
      <c r="I20" s="108">
        <v>41.977853873336436</v>
      </c>
      <c r="J20" s="109">
        <v>541.0098229819788</v>
      </c>
      <c r="K20" s="109" t="s">
        <v>27</v>
      </c>
      <c r="L20" s="109" t="s">
        <v>27</v>
      </c>
      <c r="M20" s="108" t="s">
        <v>27</v>
      </c>
      <c r="N20" s="109" t="s">
        <v>27</v>
      </c>
      <c r="O20" s="108" t="s">
        <v>27</v>
      </c>
      <c r="P20" s="110" t="s">
        <v>27</v>
      </c>
      <c r="Q20" s="110">
        <v>0.98119237687375638</v>
      </c>
      <c r="R20" s="108" t="s">
        <v>27</v>
      </c>
      <c r="S20" s="108">
        <v>10.852953535333674</v>
      </c>
      <c r="T20" s="111">
        <v>1031.030585856699</v>
      </c>
      <c r="U20" s="109">
        <v>61.329544293403515</v>
      </c>
      <c r="V20" s="112" t="s">
        <v>27</v>
      </c>
      <c r="W20" s="113" t="s">
        <v>27</v>
      </c>
    </row>
    <row r="22" spans="1:25">
      <c r="A22" s="12" t="s">
        <v>32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 spans="1:25" ht="15" customHeight="1">
      <c r="A23" s="187" t="s">
        <v>1</v>
      </c>
      <c r="B23" s="187" t="s">
        <v>2</v>
      </c>
      <c r="C23" s="189" t="s">
        <v>33</v>
      </c>
      <c r="D23" s="190"/>
      <c r="E23" s="190"/>
      <c r="F23" s="190"/>
      <c r="G23" s="190"/>
      <c r="H23" s="190"/>
      <c r="I23" s="190"/>
      <c r="J23" s="191"/>
      <c r="K23" s="189" t="s">
        <v>105</v>
      </c>
      <c r="L23" s="191"/>
      <c r="M23" s="189" t="s">
        <v>34</v>
      </c>
      <c r="N23" s="190"/>
      <c r="O23" s="190"/>
      <c r="P23" s="190"/>
      <c r="Q23" s="190"/>
      <c r="R23" s="190"/>
      <c r="S23" s="190"/>
      <c r="T23" s="191"/>
      <c r="U23" s="189" t="s">
        <v>106</v>
      </c>
      <c r="V23" s="191"/>
      <c r="W23" s="193" t="s">
        <v>113</v>
      </c>
    </row>
    <row r="24" spans="1:25">
      <c r="A24" s="188"/>
      <c r="B24" s="188"/>
      <c r="C24" s="96" t="s">
        <v>19</v>
      </c>
      <c r="D24" s="96" t="s">
        <v>20</v>
      </c>
      <c r="E24" s="96" t="s">
        <v>21</v>
      </c>
      <c r="F24" s="96" t="s">
        <v>22</v>
      </c>
      <c r="G24" s="96" t="s">
        <v>23</v>
      </c>
      <c r="H24" s="96" t="s">
        <v>24</v>
      </c>
      <c r="I24" s="96" t="s">
        <v>25</v>
      </c>
      <c r="J24" s="96" t="s">
        <v>26</v>
      </c>
      <c r="K24" s="127" t="s">
        <v>105</v>
      </c>
      <c r="L24" s="127" t="s">
        <v>107</v>
      </c>
      <c r="M24" s="96" t="s">
        <v>19</v>
      </c>
      <c r="N24" s="96" t="s">
        <v>20</v>
      </c>
      <c r="O24" s="96" t="s">
        <v>21</v>
      </c>
      <c r="P24" s="96" t="s">
        <v>22</v>
      </c>
      <c r="Q24" s="96" t="s">
        <v>23</v>
      </c>
      <c r="R24" s="96" t="s">
        <v>24</v>
      </c>
      <c r="S24" s="96" t="s">
        <v>25</v>
      </c>
      <c r="T24" s="96" t="s">
        <v>26</v>
      </c>
      <c r="U24" s="136" t="s">
        <v>106</v>
      </c>
      <c r="V24" s="136" t="s">
        <v>107</v>
      </c>
      <c r="W24" s="194"/>
    </row>
    <row r="25" spans="1:25" s="95" customFormat="1" ht="12">
      <c r="A25" s="92" t="s">
        <v>65</v>
      </c>
      <c r="B25" s="92" t="s">
        <v>66</v>
      </c>
      <c r="C25" s="92" t="s">
        <v>70</v>
      </c>
      <c r="D25" s="92" t="s">
        <v>70</v>
      </c>
      <c r="E25" s="92" t="s">
        <v>70</v>
      </c>
      <c r="F25" s="92" t="s">
        <v>70</v>
      </c>
      <c r="G25" s="92" t="s">
        <v>70</v>
      </c>
      <c r="H25" s="92" t="s">
        <v>70</v>
      </c>
      <c r="I25" s="92" t="s">
        <v>70</v>
      </c>
      <c r="J25" s="92" t="s">
        <v>70</v>
      </c>
      <c r="K25" s="92" t="s">
        <v>75</v>
      </c>
      <c r="L25" s="92" t="s">
        <v>75</v>
      </c>
      <c r="M25" s="92" t="s">
        <v>70</v>
      </c>
      <c r="N25" s="92" t="s">
        <v>70</v>
      </c>
      <c r="O25" s="92" t="s">
        <v>70</v>
      </c>
      <c r="P25" s="92" t="s">
        <v>70</v>
      </c>
      <c r="Q25" s="92" t="s">
        <v>70</v>
      </c>
      <c r="R25" s="92" t="s">
        <v>70</v>
      </c>
      <c r="S25" s="92" t="s">
        <v>70</v>
      </c>
      <c r="T25" s="92" t="s">
        <v>70</v>
      </c>
      <c r="U25" s="92" t="s">
        <v>75</v>
      </c>
      <c r="V25" s="92" t="s">
        <v>75</v>
      </c>
      <c r="W25" s="92" t="s">
        <v>75</v>
      </c>
    </row>
    <row r="26" spans="1:25">
      <c r="A26" s="87">
        <v>29</v>
      </c>
      <c r="B26" s="23">
        <v>13.3399129304885</v>
      </c>
      <c r="C26" s="24">
        <v>32.687712609152243</v>
      </c>
      <c r="D26" s="24">
        <v>111.07676035629521</v>
      </c>
      <c r="E26" s="24">
        <v>25.880015492767875</v>
      </c>
      <c r="F26" s="24">
        <v>0</v>
      </c>
      <c r="G26" s="24">
        <v>0</v>
      </c>
      <c r="H26" s="24">
        <v>0</v>
      </c>
      <c r="I26" s="24">
        <v>0</v>
      </c>
      <c r="J26" s="24">
        <v>0</v>
      </c>
      <c r="K26" s="88">
        <v>5144.6485560426754</v>
      </c>
      <c r="L26" s="88">
        <v>2897.0149158601744</v>
      </c>
      <c r="M26" s="25">
        <v>12.502155695542223</v>
      </c>
      <c r="N26" s="25">
        <v>28.034747299568423</v>
      </c>
      <c r="O26" s="25">
        <v>6.3172104404579859</v>
      </c>
      <c r="P26" s="25">
        <v>0</v>
      </c>
      <c r="Q26" s="25">
        <v>0</v>
      </c>
      <c r="R26" s="25">
        <v>0</v>
      </c>
      <c r="S26" s="25">
        <v>0</v>
      </c>
      <c r="T26" s="25">
        <v>0</v>
      </c>
      <c r="U26" s="88">
        <v>968.91027917167116</v>
      </c>
      <c r="V26" s="88">
        <v>545.60530234736086</v>
      </c>
      <c r="W26" s="89">
        <v>2897.0149158601744</v>
      </c>
    </row>
    <row r="27" spans="1:25">
      <c r="A27" s="114">
        <v>35</v>
      </c>
      <c r="B27" s="103">
        <v>15.786136530876099</v>
      </c>
      <c r="C27" s="104">
        <v>8.3339585749428622</v>
      </c>
      <c r="D27" s="104">
        <v>103.61366937444686</v>
      </c>
      <c r="E27" s="104">
        <v>58.981156126547397</v>
      </c>
      <c r="F27" s="104">
        <v>36.652209703220215</v>
      </c>
      <c r="G27" s="104">
        <v>0</v>
      </c>
      <c r="H27" s="104">
        <v>0</v>
      </c>
      <c r="I27" s="104">
        <v>0</v>
      </c>
      <c r="J27" s="104">
        <v>0</v>
      </c>
      <c r="K27" s="115">
        <v>7822.419153189423</v>
      </c>
      <c r="L27" s="115">
        <v>3911.425579865363</v>
      </c>
      <c r="M27" s="116">
        <v>5.4051163578970973</v>
      </c>
      <c r="N27" s="116">
        <v>16.408659521774204</v>
      </c>
      <c r="O27" s="116">
        <v>3.5566147204204501</v>
      </c>
      <c r="P27" s="116">
        <v>2.8668471182947428</v>
      </c>
      <c r="Q27" s="116">
        <v>0</v>
      </c>
      <c r="R27" s="116">
        <v>0</v>
      </c>
      <c r="S27" s="116">
        <v>0</v>
      </c>
      <c r="T27" s="116">
        <v>0</v>
      </c>
      <c r="U27" s="115">
        <v>663.91781791994458</v>
      </c>
      <c r="V27" s="115">
        <v>331.97724196122243</v>
      </c>
      <c r="W27" s="106">
        <v>4457.0308822127236</v>
      </c>
    </row>
    <row r="28" spans="1:25">
      <c r="A28" s="87">
        <v>41</v>
      </c>
      <c r="B28" s="23">
        <v>17.996596780776901</v>
      </c>
      <c r="C28" s="24">
        <v>0.89591683848467762</v>
      </c>
      <c r="D28" s="24">
        <v>59.977163272966678</v>
      </c>
      <c r="E28" s="24">
        <v>83.275395646799154</v>
      </c>
      <c r="F28" s="24">
        <v>118.13559263626361</v>
      </c>
      <c r="G28" s="24">
        <v>4.5820142398555372</v>
      </c>
      <c r="H28" s="24">
        <v>0</v>
      </c>
      <c r="I28" s="24">
        <v>0</v>
      </c>
      <c r="J28" s="24">
        <v>0</v>
      </c>
      <c r="K28" s="88">
        <v>11936.501371780683</v>
      </c>
      <c r="L28" s="88">
        <v>5299.9284922793122</v>
      </c>
      <c r="M28" s="25">
        <v>0.79876719979978505</v>
      </c>
      <c r="N28" s="25">
        <v>19.130034769950267</v>
      </c>
      <c r="O28" s="25">
        <v>5.2622196115049826</v>
      </c>
      <c r="P28" s="25">
        <v>7.4042317294753071</v>
      </c>
      <c r="Q28" s="25">
        <v>0.27139275726732809</v>
      </c>
      <c r="R28" s="25">
        <v>0</v>
      </c>
      <c r="S28" s="25">
        <v>0</v>
      </c>
      <c r="T28" s="25">
        <v>0</v>
      </c>
      <c r="U28" s="88">
        <v>1035.1319097196676</v>
      </c>
      <c r="V28" s="88">
        <v>459.6091376121833</v>
      </c>
      <c r="W28" s="89">
        <v>6177.5110365878954</v>
      </c>
    </row>
    <row r="29" spans="1:25">
      <c r="A29" s="114">
        <v>47</v>
      </c>
      <c r="B29" s="103">
        <v>19.965144802093501</v>
      </c>
      <c r="C29" s="104">
        <v>0</v>
      </c>
      <c r="D29" s="104">
        <v>15.574150591108582</v>
      </c>
      <c r="E29" s="104">
        <v>64.073044455617548</v>
      </c>
      <c r="F29" s="104">
        <v>183.23850006940222</v>
      </c>
      <c r="G29" s="104">
        <v>58.637951165889696</v>
      </c>
      <c r="H29" s="104">
        <v>0</v>
      </c>
      <c r="I29" s="104">
        <v>0</v>
      </c>
      <c r="J29" s="104">
        <v>0</v>
      </c>
      <c r="K29" s="115">
        <v>16368.935128144767</v>
      </c>
      <c r="L29" s="115">
        <v>6453.7532199706593</v>
      </c>
      <c r="M29" s="116">
        <v>0</v>
      </c>
      <c r="N29" s="116">
        <v>9.6822989847183365</v>
      </c>
      <c r="O29" s="116">
        <v>16.21826128946531</v>
      </c>
      <c r="P29" s="116">
        <v>11.066023691295195</v>
      </c>
      <c r="Q29" s="116">
        <v>4.351019357911917</v>
      </c>
      <c r="R29" s="116">
        <v>0</v>
      </c>
      <c r="S29" s="116">
        <v>0</v>
      </c>
      <c r="T29" s="116">
        <v>0</v>
      </c>
      <c r="U29" s="115">
        <v>1615.852834515254</v>
      </c>
      <c r="V29" s="115">
        <v>637.0796482552538</v>
      </c>
      <c r="W29" s="106">
        <v>7790.9449018914256</v>
      </c>
    </row>
    <row r="30" spans="1:25">
      <c r="A30" s="87">
        <v>53</v>
      </c>
      <c r="B30" s="23">
        <v>21.706965242385799</v>
      </c>
      <c r="C30" s="24">
        <v>0</v>
      </c>
      <c r="D30" s="24">
        <v>1.1897577976030618</v>
      </c>
      <c r="E30" s="24">
        <v>16.287210542297512</v>
      </c>
      <c r="F30" s="24">
        <v>194.97536474221181</v>
      </c>
      <c r="G30" s="24">
        <v>153.15528035247775</v>
      </c>
      <c r="H30" s="24">
        <v>0</v>
      </c>
      <c r="I30" s="24">
        <v>0</v>
      </c>
      <c r="J30" s="24">
        <v>0</v>
      </c>
      <c r="K30" s="88">
        <v>20626.609062148731</v>
      </c>
      <c r="L30" s="88">
        <v>7221.3556440593356</v>
      </c>
      <c r="M30" s="25">
        <v>0</v>
      </c>
      <c r="N30" s="25">
        <v>1.1417424386459201</v>
      </c>
      <c r="O30" s="25">
        <v>10.443542385334565</v>
      </c>
      <c r="P30" s="25">
        <v>30.594337707469602</v>
      </c>
      <c r="Q30" s="25">
        <v>8.5754865717461595</v>
      </c>
      <c r="R30" s="25">
        <v>0</v>
      </c>
      <c r="S30" s="25">
        <v>0</v>
      </c>
      <c r="T30" s="25">
        <v>0</v>
      </c>
      <c r="U30" s="88">
        <v>2300.0482280678093</v>
      </c>
      <c r="V30" s="88">
        <v>805.24463344029141</v>
      </c>
      <c r="W30" s="89">
        <v>9195.6269742353561</v>
      </c>
    </row>
    <row r="31" spans="1:25">
      <c r="A31" s="114">
        <v>59</v>
      </c>
      <c r="B31" s="103">
        <v>23.2629078350067</v>
      </c>
      <c r="C31" s="104">
        <v>0</v>
      </c>
      <c r="D31" s="104">
        <v>0</v>
      </c>
      <c r="E31" s="104">
        <v>0.68073231344312157</v>
      </c>
      <c r="F31" s="104">
        <v>108.43494786758663</v>
      </c>
      <c r="G31" s="104">
        <v>285.37469750331178</v>
      </c>
      <c r="H31" s="104">
        <v>2.0883219110396909</v>
      </c>
      <c r="I31" s="104">
        <v>0</v>
      </c>
      <c r="J31" s="104">
        <v>0</v>
      </c>
      <c r="K31" s="115">
        <v>24367.084797718144</v>
      </c>
      <c r="L31" s="115">
        <v>7575.1884382818725</v>
      </c>
      <c r="M31" s="116">
        <v>0</v>
      </c>
      <c r="N31" s="116">
        <v>0</v>
      </c>
      <c r="O31" s="116">
        <v>0.57268109757459773</v>
      </c>
      <c r="P31" s="116">
        <v>34.290702684282145</v>
      </c>
      <c r="Q31" s="116">
        <v>15.309736948629839</v>
      </c>
      <c r="R31" s="116">
        <v>0</v>
      </c>
      <c r="S31" s="116">
        <v>0</v>
      </c>
      <c r="T31" s="116">
        <v>0</v>
      </c>
      <c r="U31" s="115">
        <v>2594.9211386711422</v>
      </c>
      <c r="V31" s="115">
        <v>806.70366484527733</v>
      </c>
      <c r="W31" s="106">
        <v>10354.704401898183</v>
      </c>
    </row>
    <row r="32" spans="1:25">
      <c r="A32" s="87">
        <v>65</v>
      </c>
      <c r="B32" s="23">
        <v>24.668623624801601</v>
      </c>
      <c r="C32" s="24">
        <v>0</v>
      </c>
      <c r="D32" s="24">
        <v>0</v>
      </c>
      <c r="E32" s="24">
        <v>0</v>
      </c>
      <c r="F32" s="24">
        <v>19.247063471821605</v>
      </c>
      <c r="G32" s="24">
        <v>342.83183538616606</v>
      </c>
      <c r="H32" s="24">
        <v>62.607722851084269</v>
      </c>
      <c r="I32" s="24">
        <v>0</v>
      </c>
      <c r="J32" s="24">
        <v>0</v>
      </c>
      <c r="K32" s="88">
        <v>27902.61728230177</v>
      </c>
      <c r="L32" s="88">
        <v>7702.5367262901773</v>
      </c>
      <c r="M32" s="25">
        <v>0</v>
      </c>
      <c r="N32" s="25">
        <v>0</v>
      </c>
      <c r="O32" s="25">
        <v>0</v>
      </c>
      <c r="P32" s="25">
        <v>11.650394974362795</v>
      </c>
      <c r="Q32" s="25">
        <v>35.829504997452403</v>
      </c>
      <c r="R32" s="25">
        <v>1.5481824288707191</v>
      </c>
      <c r="S32" s="25">
        <v>0</v>
      </c>
      <c r="T32" s="25">
        <v>0</v>
      </c>
      <c r="U32" s="88">
        <v>2775.3476280281625</v>
      </c>
      <c r="V32" s="88">
        <v>766.13662499211205</v>
      </c>
      <c r="W32" s="89">
        <v>11288.756354751766</v>
      </c>
    </row>
    <row r="33" spans="1:25">
      <c r="A33" s="114">
        <v>71</v>
      </c>
      <c r="B33" s="103">
        <v>25.951462226867601</v>
      </c>
      <c r="C33" s="104">
        <v>0</v>
      </c>
      <c r="D33" s="104">
        <v>0</v>
      </c>
      <c r="E33" s="104">
        <v>0</v>
      </c>
      <c r="F33" s="104">
        <v>0.13709442412401959</v>
      </c>
      <c r="G33" s="104">
        <v>288.84190253232225</v>
      </c>
      <c r="H33" s="104">
        <v>161.88895211380327</v>
      </c>
      <c r="I33" s="104">
        <v>0</v>
      </c>
      <c r="J33" s="104">
        <v>0</v>
      </c>
      <c r="K33" s="115">
        <v>31241.626020077059</v>
      </c>
      <c r="L33" s="115">
        <v>7658.107073612995</v>
      </c>
      <c r="M33" s="116">
        <v>0</v>
      </c>
      <c r="N33" s="116">
        <v>0</v>
      </c>
      <c r="O33" s="116">
        <v>0</v>
      </c>
      <c r="P33" s="116">
        <v>0.13709442412401959</v>
      </c>
      <c r="Q33" s="116">
        <v>42.587172101440601</v>
      </c>
      <c r="R33" s="116">
        <v>5.52848526656138</v>
      </c>
      <c r="S33" s="116">
        <v>0</v>
      </c>
      <c r="T33" s="116">
        <v>0</v>
      </c>
      <c r="U33" s="115">
        <v>2955.2479868351375</v>
      </c>
      <c r="V33" s="115">
        <v>724.40549341826181</v>
      </c>
      <c r="W33" s="106">
        <v>12010.463327066696</v>
      </c>
    </row>
    <row r="34" spans="1:25">
      <c r="A34" s="87">
        <v>77</v>
      </c>
      <c r="B34" s="23">
        <v>27.125672653198201</v>
      </c>
      <c r="C34" s="24">
        <v>0</v>
      </c>
      <c r="D34" s="24">
        <v>0</v>
      </c>
      <c r="E34" s="24">
        <v>0</v>
      </c>
      <c r="F34" s="24">
        <v>0</v>
      </c>
      <c r="G34" s="24">
        <v>165.91207090248318</v>
      </c>
      <c r="H34" s="24">
        <v>309.32010268446936</v>
      </c>
      <c r="I34" s="24">
        <v>0</v>
      </c>
      <c r="J34" s="24">
        <v>0</v>
      </c>
      <c r="K34" s="88">
        <v>34301.637816500399</v>
      </c>
      <c r="L34" s="88">
        <v>7466.2345890330098</v>
      </c>
      <c r="M34" s="25">
        <v>0</v>
      </c>
      <c r="N34" s="25">
        <v>0</v>
      </c>
      <c r="O34" s="25">
        <v>0</v>
      </c>
      <c r="P34" s="25">
        <v>0</v>
      </c>
      <c r="Q34" s="25">
        <v>36.820219895408293</v>
      </c>
      <c r="R34" s="25">
        <v>10.637191900064456</v>
      </c>
      <c r="S34" s="25">
        <v>0</v>
      </c>
      <c r="T34" s="25">
        <v>0</v>
      </c>
      <c r="U34" s="88">
        <v>3073.5516698157844</v>
      </c>
      <c r="V34" s="88">
        <v>669.00181009199434</v>
      </c>
      <c r="W34" s="89">
        <v>12542.996335904973</v>
      </c>
    </row>
    <row r="35" spans="1:25">
      <c r="A35" s="114">
        <v>83</v>
      </c>
      <c r="B35" s="103">
        <v>28.214953746795601</v>
      </c>
      <c r="C35" s="104">
        <v>0</v>
      </c>
      <c r="D35" s="104">
        <v>0</v>
      </c>
      <c r="E35" s="104">
        <v>0</v>
      </c>
      <c r="F35" s="104">
        <v>0</v>
      </c>
      <c r="G35" s="104">
        <v>31.896533154556508</v>
      </c>
      <c r="H35" s="104">
        <v>424.33960627762798</v>
      </c>
      <c r="I35" s="104">
        <v>41.982282664985981</v>
      </c>
      <c r="J35" s="104">
        <v>0</v>
      </c>
      <c r="K35" s="115">
        <v>37077.884446511795</v>
      </c>
      <c r="L35" s="115">
        <v>7166.3941468766825</v>
      </c>
      <c r="M35" s="116">
        <v>0</v>
      </c>
      <c r="N35" s="116">
        <v>0</v>
      </c>
      <c r="O35" s="116">
        <v>0</v>
      </c>
      <c r="P35" s="116">
        <v>0</v>
      </c>
      <c r="Q35" s="116">
        <v>15.651988203228454</v>
      </c>
      <c r="R35" s="116">
        <v>29.390115985293217</v>
      </c>
      <c r="S35" s="116">
        <v>1.7344754870040044</v>
      </c>
      <c r="T35" s="116">
        <v>0</v>
      </c>
      <c r="U35" s="115">
        <v>3155.8755567015937</v>
      </c>
      <c r="V35" s="115">
        <v>609.96597986714914</v>
      </c>
      <c r="W35" s="106">
        <v>12912.157703840639</v>
      </c>
    </row>
    <row r="36" spans="1:25">
      <c r="A36" s="87">
        <v>89</v>
      </c>
      <c r="B36" s="23">
        <v>29.233453971862701</v>
      </c>
      <c r="C36" s="24">
        <v>0</v>
      </c>
      <c r="D36" s="24">
        <v>0</v>
      </c>
      <c r="E36" s="24">
        <v>0</v>
      </c>
      <c r="F36" s="24">
        <v>0</v>
      </c>
      <c r="G36" s="24">
        <v>0.26866415133333749</v>
      </c>
      <c r="H36" s="24">
        <v>371.99647772190127</v>
      </c>
      <c r="I36" s="24">
        <v>147.69388928824912</v>
      </c>
      <c r="J36" s="24">
        <v>0</v>
      </c>
      <c r="K36" s="88">
        <v>39542.400396992569</v>
      </c>
      <c r="L36" s="88">
        <v>6786.5295203315827</v>
      </c>
      <c r="M36" s="25">
        <v>0</v>
      </c>
      <c r="N36" s="25">
        <v>0</v>
      </c>
      <c r="O36" s="25">
        <v>0</v>
      </c>
      <c r="P36" s="25">
        <v>0</v>
      </c>
      <c r="Q36" s="25">
        <v>0.26866415133333749</v>
      </c>
      <c r="R36" s="25">
        <v>41.567477531822412</v>
      </c>
      <c r="S36" s="25">
        <v>4.1753658296960321</v>
      </c>
      <c r="T36" s="25">
        <v>0</v>
      </c>
      <c r="U36" s="88">
        <v>3190.2485416866571</v>
      </c>
      <c r="V36" s="88">
        <v>547.53165432511128</v>
      </c>
      <c r="W36" s="89">
        <v>13142.25905716269</v>
      </c>
    </row>
    <row r="37" spans="1:25">
      <c r="A37" s="114">
        <v>95</v>
      </c>
      <c r="B37" s="108">
        <v>30.200856893539399</v>
      </c>
      <c r="C37" s="109">
        <v>0</v>
      </c>
      <c r="D37" s="109">
        <v>0</v>
      </c>
      <c r="E37" s="109">
        <v>0</v>
      </c>
      <c r="F37" s="109">
        <v>0</v>
      </c>
      <c r="G37" s="109">
        <v>0</v>
      </c>
      <c r="H37" s="109">
        <v>246.90623264837907</v>
      </c>
      <c r="I37" s="109">
        <v>294.1035903335997</v>
      </c>
      <c r="J37" s="109">
        <v>0</v>
      </c>
      <c r="K37" s="117">
        <v>41710.341157231051</v>
      </c>
      <c r="L37" s="117">
        <v>6356.637193167825</v>
      </c>
      <c r="M37" s="118">
        <v>0</v>
      </c>
      <c r="N37" s="118">
        <v>0</v>
      </c>
      <c r="O37" s="118">
        <v>0</v>
      </c>
      <c r="P37" s="118">
        <v>0</v>
      </c>
      <c r="Q37" s="118">
        <v>0</v>
      </c>
      <c r="R37" s="118">
        <v>246.90623264837907</v>
      </c>
      <c r="S37" s="118">
        <v>294.1035903335997</v>
      </c>
      <c r="T37" s="118">
        <v>0</v>
      </c>
      <c r="U37" s="117">
        <v>41710.341157231051</v>
      </c>
      <c r="V37" s="117">
        <v>6356.637193167825</v>
      </c>
      <c r="W37" s="111">
        <v>13259.898384324042</v>
      </c>
    </row>
    <row r="38" spans="1:25" s="10" customFormat="1">
      <c r="A38" s="26" t="s">
        <v>13</v>
      </c>
      <c r="B38" s="27" t="s">
        <v>27</v>
      </c>
      <c r="C38" s="27" t="s">
        <v>27</v>
      </c>
      <c r="D38" s="27" t="s">
        <v>27</v>
      </c>
      <c r="E38" s="27" t="s">
        <v>27</v>
      </c>
      <c r="F38" s="27" t="s">
        <v>27</v>
      </c>
      <c r="G38" s="27" t="s">
        <v>27</v>
      </c>
      <c r="H38" s="27" t="s">
        <v>27</v>
      </c>
      <c r="I38" s="27" t="s">
        <v>27</v>
      </c>
      <c r="J38" s="27" t="s">
        <v>27</v>
      </c>
      <c r="K38" s="27" t="s">
        <v>27</v>
      </c>
      <c r="L38" s="27" t="s">
        <v>27</v>
      </c>
      <c r="M38" s="26">
        <v>18.706039253239105</v>
      </c>
      <c r="N38" s="26">
        <v>74.397483014657141</v>
      </c>
      <c r="O38" s="26">
        <v>42.370529544757886</v>
      </c>
      <c r="P38" s="26">
        <v>98.009632329303813</v>
      </c>
      <c r="Q38" s="26">
        <v>159.66518498441832</v>
      </c>
      <c r="R38" s="26">
        <v>335.57768576099124</v>
      </c>
      <c r="S38" s="26">
        <v>300.01343165029971</v>
      </c>
      <c r="T38" s="26">
        <v>0</v>
      </c>
      <c r="U38" s="27" t="s">
        <v>27</v>
      </c>
      <c r="V38" s="90">
        <v>13259.898384324042</v>
      </c>
      <c r="W38" s="28" t="s">
        <v>27</v>
      </c>
    </row>
    <row r="39" spans="1:25">
      <c r="A39" s="17"/>
      <c r="V39" s="9"/>
    </row>
    <row r="40" spans="1:25">
      <c r="H40" s="15"/>
      <c r="I40" s="15"/>
      <c r="J40" s="15"/>
      <c r="W40" s="15" t="s">
        <v>77</v>
      </c>
    </row>
    <row r="41" spans="1:25">
      <c r="V41" s="9"/>
      <c r="W41" s="15" t="s">
        <v>78</v>
      </c>
      <c r="X41" s="9"/>
      <c r="Y41" s="9"/>
    </row>
    <row r="42" spans="1:25">
      <c r="A42" s="8"/>
      <c r="B42" s="8"/>
      <c r="C42" s="8"/>
      <c r="D42" s="8"/>
      <c r="E42" s="8"/>
      <c r="F42" s="8"/>
      <c r="G42" s="8"/>
      <c r="H42" s="8"/>
      <c r="I42" s="8"/>
      <c r="J42" s="8"/>
      <c r="V42" s="9"/>
      <c r="W42" s="15"/>
      <c r="X42" s="9"/>
      <c r="Y42" s="15"/>
    </row>
    <row r="43" spans="1:25">
      <c r="V43" s="9"/>
      <c r="W43" s="9"/>
      <c r="X43" s="9"/>
      <c r="Y43" s="9"/>
    </row>
    <row r="44" spans="1:25"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spans="1:25">
      <c r="V45" s="9"/>
      <c r="W45" s="9"/>
      <c r="X45" s="9"/>
      <c r="Y45" s="9"/>
    </row>
    <row r="46" spans="1:25">
      <c r="V46" s="9"/>
      <c r="W46" s="9"/>
      <c r="X46" s="9"/>
      <c r="Y46" s="9"/>
    </row>
  </sheetData>
  <mergeCells count="17">
    <mergeCell ref="D1:T1"/>
    <mergeCell ref="U6:U7"/>
    <mergeCell ref="V6:V7"/>
    <mergeCell ref="W6:W7"/>
    <mergeCell ref="W23:W24"/>
    <mergeCell ref="O6:T6"/>
    <mergeCell ref="C6:F6"/>
    <mergeCell ref="G6:J6"/>
    <mergeCell ref="K6:N6"/>
    <mergeCell ref="K23:L23"/>
    <mergeCell ref="U23:V23"/>
    <mergeCell ref="M23:T23"/>
    <mergeCell ref="A6:A7"/>
    <mergeCell ref="B6:B7"/>
    <mergeCell ref="A23:A24"/>
    <mergeCell ref="B23:B24"/>
    <mergeCell ref="C23:J23"/>
  </mergeCells>
  <pageMargins left="0.70866141732283472" right="0.70866141732283472" top="0.74803149606299213" bottom="0.74803149606299213" header="0.31496062992125984" footer="0.31496062992125984"/>
  <pageSetup paperSize="9" scale="7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46"/>
  <sheetViews>
    <sheetView workbookViewId="0">
      <selection activeCell="W23" sqref="W23:W24"/>
    </sheetView>
  </sheetViews>
  <sheetFormatPr baseColWidth="10" defaultRowHeight="15"/>
  <cols>
    <col min="1" max="21" width="6.7109375" style="9" customWidth="1"/>
    <col min="22" max="23" width="6.7109375" style="17" customWidth="1"/>
    <col min="24" max="16384" width="11.42578125" style="17"/>
  </cols>
  <sheetData>
    <row r="1" spans="1:27" ht="30.75" customHeight="1">
      <c r="D1" s="151" t="s">
        <v>55</v>
      </c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</row>
    <row r="2" spans="1:27">
      <c r="A2" s="12"/>
      <c r="B2" s="14"/>
      <c r="C2" s="13"/>
      <c r="D2" s="13"/>
      <c r="E2" s="13"/>
      <c r="F2" s="13"/>
      <c r="G2" s="13"/>
      <c r="H2" s="13"/>
      <c r="I2" s="13"/>
      <c r="J2" s="13"/>
      <c r="K2" s="14"/>
      <c r="L2" s="13"/>
      <c r="M2" s="13"/>
      <c r="U2" s="15"/>
      <c r="V2" s="15"/>
      <c r="W2" s="15"/>
    </row>
    <row r="3" spans="1:27">
      <c r="A3" s="12" t="s">
        <v>85</v>
      </c>
      <c r="B3" s="12"/>
      <c r="C3" s="12"/>
      <c r="D3" s="14"/>
      <c r="E3" s="14" t="s">
        <v>80</v>
      </c>
      <c r="F3" s="14"/>
      <c r="G3" s="13"/>
      <c r="H3" s="13"/>
      <c r="I3" s="14"/>
      <c r="J3" s="13"/>
      <c r="K3" s="14" t="s">
        <v>86</v>
      </c>
      <c r="L3" s="14"/>
      <c r="M3" s="14"/>
      <c r="N3" s="13"/>
      <c r="R3" s="14" t="s">
        <v>83</v>
      </c>
      <c r="V3" s="9"/>
      <c r="W3" s="9"/>
    </row>
    <row r="4" spans="1:27">
      <c r="A4" s="13"/>
      <c r="B4" s="14"/>
      <c r="C4" s="13"/>
      <c r="D4" s="14"/>
      <c r="E4" s="14" t="s">
        <v>37</v>
      </c>
      <c r="F4" s="14"/>
      <c r="G4" s="13"/>
      <c r="H4" s="13"/>
      <c r="I4" s="14"/>
      <c r="J4" s="13"/>
      <c r="K4" s="14" t="s">
        <v>35</v>
      </c>
      <c r="L4" s="13"/>
      <c r="M4" s="13"/>
      <c r="N4" s="13"/>
      <c r="O4" s="8"/>
      <c r="P4" s="8"/>
      <c r="Q4" s="8"/>
      <c r="R4" s="14" t="s">
        <v>84</v>
      </c>
      <c r="S4" s="8"/>
      <c r="T4" s="8"/>
      <c r="U4" s="8"/>
      <c r="V4" s="8"/>
      <c r="W4" s="13"/>
    </row>
    <row r="5" spans="1:27">
      <c r="A5" s="12" t="s">
        <v>0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7">
      <c r="A6" s="185" t="s">
        <v>1</v>
      </c>
      <c r="B6" s="185" t="s">
        <v>2</v>
      </c>
      <c r="C6" s="198" t="s">
        <v>109</v>
      </c>
      <c r="D6" s="199"/>
      <c r="E6" s="199"/>
      <c r="F6" s="199"/>
      <c r="G6" s="199" t="s">
        <v>110</v>
      </c>
      <c r="H6" s="199"/>
      <c r="I6" s="199"/>
      <c r="J6" s="199"/>
      <c r="K6" s="199" t="s">
        <v>111</v>
      </c>
      <c r="L6" s="199"/>
      <c r="M6" s="199"/>
      <c r="N6" s="199"/>
      <c r="O6" s="195" t="s">
        <v>3</v>
      </c>
      <c r="P6" s="196"/>
      <c r="Q6" s="196"/>
      <c r="R6" s="196"/>
      <c r="S6" s="196"/>
      <c r="T6" s="197"/>
      <c r="U6" s="187" t="s">
        <v>14</v>
      </c>
      <c r="V6" s="193" t="s">
        <v>64</v>
      </c>
      <c r="W6" s="187" t="s">
        <v>31</v>
      </c>
    </row>
    <row r="7" spans="1:27">
      <c r="A7" s="186"/>
      <c r="B7" s="186"/>
      <c r="C7" s="101" t="s">
        <v>4</v>
      </c>
      <c r="D7" s="101" t="s">
        <v>5</v>
      </c>
      <c r="E7" s="101" t="s">
        <v>6</v>
      </c>
      <c r="F7" s="101" t="s">
        <v>7</v>
      </c>
      <c r="G7" s="101" t="s">
        <v>4</v>
      </c>
      <c r="H7" s="101" t="s">
        <v>5</v>
      </c>
      <c r="I7" s="101" t="s">
        <v>6</v>
      </c>
      <c r="J7" s="101" t="s">
        <v>7</v>
      </c>
      <c r="K7" s="101" t="s">
        <v>4</v>
      </c>
      <c r="L7" s="101" t="s">
        <v>5</v>
      </c>
      <c r="M7" s="101" t="s">
        <v>6</v>
      </c>
      <c r="N7" s="101" t="s">
        <v>7</v>
      </c>
      <c r="O7" s="99" t="s">
        <v>15</v>
      </c>
      <c r="P7" s="101" t="s">
        <v>8</v>
      </c>
      <c r="Q7" s="101" t="s">
        <v>9</v>
      </c>
      <c r="R7" s="101" t="s">
        <v>10</v>
      </c>
      <c r="S7" s="101" t="s">
        <v>11</v>
      </c>
      <c r="T7" s="101" t="s">
        <v>12</v>
      </c>
      <c r="U7" s="192"/>
      <c r="V7" s="194"/>
      <c r="W7" s="188"/>
    </row>
    <row r="8" spans="1:27" s="95" customFormat="1" ht="12" customHeight="1">
      <c r="A8" s="92" t="s">
        <v>65</v>
      </c>
      <c r="B8" s="92" t="s">
        <v>66</v>
      </c>
      <c r="C8" s="92" t="s">
        <v>67</v>
      </c>
      <c r="D8" s="92" t="s">
        <v>68</v>
      </c>
      <c r="E8" s="92" t="s">
        <v>69</v>
      </c>
      <c r="F8" s="92" t="s">
        <v>70</v>
      </c>
      <c r="G8" s="92" t="s">
        <v>67</v>
      </c>
      <c r="H8" s="92" t="s">
        <v>68</v>
      </c>
      <c r="I8" s="92" t="s">
        <v>69</v>
      </c>
      <c r="J8" s="92" t="s">
        <v>70</v>
      </c>
      <c r="K8" s="92" t="s">
        <v>67</v>
      </c>
      <c r="L8" s="92" t="s">
        <v>68</v>
      </c>
      <c r="M8" s="92" t="s">
        <v>69</v>
      </c>
      <c r="N8" s="92" t="s">
        <v>70</v>
      </c>
      <c r="O8" s="92" t="s">
        <v>71</v>
      </c>
      <c r="P8" s="92" t="s">
        <v>72</v>
      </c>
      <c r="Q8" s="92" t="s">
        <v>72</v>
      </c>
      <c r="R8" s="92" t="s">
        <v>73</v>
      </c>
      <c r="S8" s="92" t="s">
        <v>73</v>
      </c>
      <c r="T8" s="92" t="s">
        <v>70</v>
      </c>
      <c r="U8" s="93"/>
      <c r="V8" s="94" t="s">
        <v>74</v>
      </c>
      <c r="W8" s="92" t="s">
        <v>66</v>
      </c>
    </row>
    <row r="9" spans="1:27">
      <c r="A9" s="22">
        <v>17</v>
      </c>
      <c r="B9" s="19">
        <v>12.925321347236601</v>
      </c>
      <c r="C9" s="18">
        <v>2133.6999999999998</v>
      </c>
      <c r="D9" s="18">
        <v>41.177894671456471</v>
      </c>
      <c r="E9" s="19">
        <v>28.790669889944276</v>
      </c>
      <c r="F9" s="18">
        <v>161.55799008574684</v>
      </c>
      <c r="G9" s="18">
        <v>848.13999999999965</v>
      </c>
      <c r="H9" s="18">
        <v>36.916967037581855</v>
      </c>
      <c r="I9" s="19">
        <v>9.198345316015434</v>
      </c>
      <c r="J9" s="18">
        <v>48.219311164088737</v>
      </c>
      <c r="K9" s="18">
        <v>1285.5600000000002</v>
      </c>
      <c r="L9" s="18">
        <v>43.76246132469565</v>
      </c>
      <c r="M9" s="19">
        <v>19.592324573928842</v>
      </c>
      <c r="N9" s="18">
        <v>113.3386789216581</v>
      </c>
      <c r="O9" s="19">
        <v>2.3228028219105306</v>
      </c>
      <c r="P9" s="20">
        <v>2.3827845579231748</v>
      </c>
      <c r="Q9" s="20">
        <v>1.6935688170555456</v>
      </c>
      <c r="R9" s="19">
        <v>25.542159913853997</v>
      </c>
      <c r="S9" s="19">
        <v>9.5034111815145206</v>
      </c>
      <c r="T9" s="91">
        <v>161.55799008574684</v>
      </c>
      <c r="U9" s="18">
        <v>92.787501800890155</v>
      </c>
      <c r="V9" s="19">
        <v>39.749730515067711</v>
      </c>
      <c r="W9" s="23">
        <v>2.9970121850333951</v>
      </c>
      <c r="Y9" s="16"/>
      <c r="Z9" s="16"/>
      <c r="AA9" s="16"/>
    </row>
    <row r="10" spans="1:27">
      <c r="A10" s="102">
        <v>23</v>
      </c>
      <c r="B10" s="103">
        <v>17.556837230682302</v>
      </c>
      <c r="C10" s="104">
        <v>1279.17</v>
      </c>
      <c r="D10" s="104">
        <v>57.699278256158834</v>
      </c>
      <c r="E10" s="103">
        <v>33.88903192146789</v>
      </c>
      <c r="F10" s="104">
        <v>266.59163840478209</v>
      </c>
      <c r="G10" s="104">
        <v>447.75000000000011</v>
      </c>
      <c r="H10" s="104">
        <v>49.017509039406121</v>
      </c>
      <c r="I10" s="103">
        <v>8.5610731067445585</v>
      </c>
      <c r="J10" s="104">
        <v>63.477942754681777</v>
      </c>
      <c r="K10" s="104">
        <v>831.42</v>
      </c>
      <c r="L10" s="104">
        <v>61.872091073711623</v>
      </c>
      <c r="M10" s="103">
        <v>25.327958814723331</v>
      </c>
      <c r="N10" s="104">
        <v>203.11369565010031</v>
      </c>
      <c r="O10" s="103">
        <v>2.2684461731387215</v>
      </c>
      <c r="P10" s="105">
        <v>2.0315742185560346</v>
      </c>
      <c r="Q10" s="105">
        <v>1.8733642277166662</v>
      </c>
      <c r="R10" s="103">
        <v>26.727640666733251</v>
      </c>
      <c r="S10" s="103">
        <v>13.687432589950904</v>
      </c>
      <c r="T10" s="106">
        <v>314.8109495688708</v>
      </c>
      <c r="U10" s="104">
        <v>89.145897458795105</v>
      </c>
      <c r="V10" s="103">
        <v>35.003166115528046</v>
      </c>
      <c r="W10" s="103">
        <v>3.7267001467165586</v>
      </c>
    </row>
    <row r="11" spans="1:27">
      <c r="A11" s="100">
        <v>29</v>
      </c>
      <c r="B11" s="23">
        <v>21.7687024040222</v>
      </c>
      <c r="C11" s="24">
        <v>827.46</v>
      </c>
      <c r="D11" s="24">
        <v>75.482768112543951</v>
      </c>
      <c r="E11" s="23">
        <v>37.517404126059539</v>
      </c>
      <c r="F11" s="24">
        <v>363.47953965049982</v>
      </c>
      <c r="G11" s="24">
        <v>239.22000000000003</v>
      </c>
      <c r="H11" s="24">
        <v>65.896095473756574</v>
      </c>
      <c r="I11" s="23">
        <v>8.2662205114880969</v>
      </c>
      <c r="J11" s="24">
        <v>78.064051543519497</v>
      </c>
      <c r="K11" s="24">
        <v>588.24</v>
      </c>
      <c r="L11" s="24">
        <v>79.049545545272863</v>
      </c>
      <c r="M11" s="23">
        <v>29.251183614571442</v>
      </c>
      <c r="N11" s="24">
        <v>285.41548810698032</v>
      </c>
      <c r="O11" s="23">
        <v>2.2137234422276415</v>
      </c>
      <c r="P11" s="21">
        <v>1.7515316037856643</v>
      </c>
      <c r="Q11" s="21">
        <v>1.906097329269639</v>
      </c>
      <c r="R11" s="23">
        <v>26.177643150329555</v>
      </c>
      <c r="S11" s="23">
        <v>16.385406674802425</v>
      </c>
      <c r="T11" s="89">
        <v>475.17679356927033</v>
      </c>
      <c r="U11" s="24">
        <v>86.51333170725384</v>
      </c>
      <c r="V11" s="23">
        <v>28.910158799216884</v>
      </c>
      <c r="W11" s="23">
        <v>4.4305476088662408</v>
      </c>
    </row>
    <row r="12" spans="1:27">
      <c r="A12" s="102">
        <v>35</v>
      </c>
      <c r="B12" s="103">
        <v>25.467121082305901</v>
      </c>
      <c r="C12" s="104">
        <v>586.08000000000004</v>
      </c>
      <c r="D12" s="104">
        <v>92.331886198638713</v>
      </c>
      <c r="E12" s="103">
        <v>39.760373237285428</v>
      </c>
      <c r="F12" s="104">
        <v>442.48134700895764</v>
      </c>
      <c r="G12" s="104">
        <v>136.98000000000002</v>
      </c>
      <c r="H12" s="104">
        <v>82.178178177487339</v>
      </c>
      <c r="I12" s="103">
        <v>7.3613982909098681</v>
      </c>
      <c r="J12" s="104">
        <v>80.976563798148959</v>
      </c>
      <c r="K12" s="104">
        <v>449.1</v>
      </c>
      <c r="L12" s="104">
        <v>95.213611721647595</v>
      </c>
      <c r="M12" s="103">
        <v>32.39897494637556</v>
      </c>
      <c r="N12" s="104">
        <v>361.50478321080868</v>
      </c>
      <c r="O12" s="103">
        <v>2.1485774469022041</v>
      </c>
      <c r="P12" s="105">
        <v>1.5388906733556595</v>
      </c>
      <c r="Q12" s="105">
        <v>1.8796003477581005</v>
      </c>
      <c r="R12" s="103">
        <v>25.050134669512648</v>
      </c>
      <c r="S12" s="103">
        <v>18.06407578489279</v>
      </c>
      <c r="T12" s="106">
        <v>632.24265247124765</v>
      </c>
      <c r="U12" s="104">
        <v>84.029288516175086</v>
      </c>
      <c r="V12" s="103">
        <v>23.372235872235873</v>
      </c>
      <c r="W12" s="103">
        <v>5.0706444199579472</v>
      </c>
    </row>
    <row r="13" spans="1:27">
      <c r="A13" s="100">
        <v>41</v>
      </c>
      <c r="B13" s="23">
        <v>28.675885902404701</v>
      </c>
      <c r="C13" s="24">
        <v>447.65999999999997</v>
      </c>
      <c r="D13" s="24">
        <v>108.10507640306082</v>
      </c>
      <c r="E13" s="23">
        <v>41.632318986509517</v>
      </c>
      <c r="F13" s="24">
        <v>511.80559122788458</v>
      </c>
      <c r="G13" s="24">
        <v>97.469999999999914</v>
      </c>
      <c r="H13" s="24">
        <v>98.183960714361532</v>
      </c>
      <c r="I13" s="23">
        <v>7.4772550876711463</v>
      </c>
      <c r="J13" s="24">
        <v>91.645215972597896</v>
      </c>
      <c r="K13" s="24">
        <v>350.19000000000005</v>
      </c>
      <c r="L13" s="24">
        <v>110.70840987820017</v>
      </c>
      <c r="M13" s="23">
        <v>34.155063898838371</v>
      </c>
      <c r="N13" s="24">
        <v>420.16037525528668</v>
      </c>
      <c r="O13" s="23">
        <v>2.1144430230946725</v>
      </c>
      <c r="P13" s="21">
        <v>1.3630662473401951</v>
      </c>
      <c r="Q13" s="21">
        <v>1.8297403954065237</v>
      </c>
      <c r="R13" s="23">
        <v>23.429597364267902</v>
      </c>
      <c r="S13" s="23">
        <v>19.086425865568867</v>
      </c>
      <c r="T13" s="89">
        <v>782.54346048832349</v>
      </c>
      <c r="U13" s="24">
        <v>81.374082226713597</v>
      </c>
      <c r="V13" s="23">
        <v>21.773220747889003</v>
      </c>
      <c r="W13" s="23">
        <v>5.7422594881972211</v>
      </c>
      <c r="Y13" s="16"/>
      <c r="AA13" s="16"/>
    </row>
    <row r="14" spans="1:27">
      <c r="A14" s="102">
        <v>47</v>
      </c>
      <c r="B14" s="103">
        <v>31.4265902156829</v>
      </c>
      <c r="C14" s="104">
        <v>349.38</v>
      </c>
      <c r="D14" s="104">
        <v>123.39506801676821</v>
      </c>
      <c r="E14" s="103">
        <v>42.333461382879541</v>
      </c>
      <c r="F14" s="104">
        <v>560.73795944089409</v>
      </c>
      <c r="G14" s="104">
        <v>64.800000000000011</v>
      </c>
      <c r="H14" s="104">
        <v>113.50403994393392</v>
      </c>
      <c r="I14" s="103">
        <v>6.6433599058662907</v>
      </c>
      <c r="J14" s="104">
        <v>88.102768857557351</v>
      </c>
      <c r="K14" s="104">
        <v>284.58</v>
      </c>
      <c r="L14" s="104">
        <v>125.53841348804285</v>
      </c>
      <c r="M14" s="103">
        <v>35.690101477013251</v>
      </c>
      <c r="N14" s="104">
        <v>472.63519058333674</v>
      </c>
      <c r="O14" s="103">
        <v>2.0764122007474248</v>
      </c>
      <c r="P14" s="105">
        <v>1.2301231920797104</v>
      </c>
      <c r="Q14" s="105">
        <v>1.77016497224912</v>
      </c>
      <c r="R14" s="103">
        <v>21.945218102810855</v>
      </c>
      <c r="S14" s="103">
        <v>19.640873290934703</v>
      </c>
      <c r="T14" s="106">
        <v>923.12104467393101</v>
      </c>
      <c r="U14" s="104">
        <v>78.644888210547563</v>
      </c>
      <c r="V14" s="103">
        <v>18.547140649149927</v>
      </c>
      <c r="W14" s="103">
        <v>6.3698982716459884</v>
      </c>
      <c r="Y14" s="16"/>
    </row>
    <row r="15" spans="1:27">
      <c r="A15" s="100">
        <v>53</v>
      </c>
      <c r="B15" s="23">
        <v>33.792086364745998</v>
      </c>
      <c r="C15" s="24">
        <v>284.22000000000003</v>
      </c>
      <c r="D15" s="24">
        <v>137.9968866925274</v>
      </c>
      <c r="E15" s="23">
        <v>43.070840629491514</v>
      </c>
      <c r="F15" s="24">
        <v>604.30649920020187</v>
      </c>
      <c r="G15" s="24">
        <v>46.350000000000023</v>
      </c>
      <c r="H15" s="24">
        <v>127.57348697639286</v>
      </c>
      <c r="I15" s="23">
        <v>6.0028947251430367</v>
      </c>
      <c r="J15" s="24">
        <v>84.558067691908491</v>
      </c>
      <c r="K15" s="24">
        <v>237.87</v>
      </c>
      <c r="L15" s="24">
        <v>139.93757896926718</v>
      </c>
      <c r="M15" s="23">
        <v>37.067945904348477</v>
      </c>
      <c r="N15" s="24">
        <v>519.74843150829338</v>
      </c>
      <c r="O15" s="23">
        <v>2.0462831617708681</v>
      </c>
      <c r="P15" s="21">
        <v>1.1261018819535913</v>
      </c>
      <c r="Q15" s="21">
        <v>1.7090281669469225</v>
      </c>
      <c r="R15" s="23">
        <v>20.615831091729888</v>
      </c>
      <c r="S15" s="23">
        <v>19.901742514920684</v>
      </c>
      <c r="T15" s="89">
        <v>1054.7923532907962</v>
      </c>
      <c r="U15" s="24">
        <v>75.863089139388876</v>
      </c>
      <c r="V15" s="23">
        <v>16.307789740341992</v>
      </c>
      <c r="W15" s="23">
        <v>6.9673054056740789</v>
      </c>
      <c r="Y15" s="16"/>
    </row>
    <row r="16" spans="1:27">
      <c r="A16" s="102">
        <v>59</v>
      </c>
      <c r="B16" s="103">
        <v>35.832014827728202</v>
      </c>
      <c r="C16" s="104">
        <v>237.69000000000003</v>
      </c>
      <c r="D16" s="104">
        <v>152.21527793989239</v>
      </c>
      <c r="E16" s="103">
        <v>43.824557196070025</v>
      </c>
      <c r="F16" s="104">
        <v>643.44341805867271</v>
      </c>
      <c r="G16" s="104">
        <v>34.650000000000034</v>
      </c>
      <c r="H16" s="104">
        <v>141.21050200176293</v>
      </c>
      <c r="I16" s="103">
        <v>5.4982865362866349</v>
      </c>
      <c r="J16" s="104">
        <v>81.016084714922954</v>
      </c>
      <c r="K16" s="104">
        <v>203.04</v>
      </c>
      <c r="L16" s="104">
        <v>154.01478387909191</v>
      </c>
      <c r="M16" s="103">
        <v>38.32627065978339</v>
      </c>
      <c r="N16" s="104">
        <v>562.42733334374975</v>
      </c>
      <c r="O16" s="103">
        <v>2.0227791379589157</v>
      </c>
      <c r="P16" s="105">
        <v>1.0463952169168351</v>
      </c>
      <c r="Q16" s="105">
        <v>1.6497475277950586</v>
      </c>
      <c r="R16" s="103">
        <v>19.506325813661249</v>
      </c>
      <c r="S16" s="103">
        <v>19.974361692223315</v>
      </c>
      <c r="T16" s="106">
        <v>1178.4873398411755</v>
      </c>
      <c r="U16" s="104">
        <v>73.090122721259888</v>
      </c>
      <c r="V16" s="103">
        <v>14.57781143506249</v>
      </c>
      <c r="W16" s="103">
        <v>7.5412594367126182</v>
      </c>
      <c r="Y16" s="16"/>
    </row>
    <row r="17" spans="1:25">
      <c r="A17" s="100">
        <v>65</v>
      </c>
      <c r="B17" s="23">
        <v>37.622863426208497</v>
      </c>
      <c r="C17" s="24">
        <v>203.04</v>
      </c>
      <c r="D17" s="24">
        <v>166.1514587068454</v>
      </c>
      <c r="E17" s="23">
        <v>44.604641961284401</v>
      </c>
      <c r="F17" s="24">
        <v>679.46528822571725</v>
      </c>
      <c r="G17" s="24">
        <v>26.549999999999983</v>
      </c>
      <c r="H17" s="24">
        <v>155.81299557571427</v>
      </c>
      <c r="I17" s="23">
        <v>5.1293462400777585</v>
      </c>
      <c r="J17" s="24">
        <v>78.664576134301228</v>
      </c>
      <c r="K17" s="24">
        <v>176.49</v>
      </c>
      <c r="L17" s="24">
        <v>167.6515513601712</v>
      </c>
      <c r="M17" s="23">
        <v>39.475295721206642</v>
      </c>
      <c r="N17" s="24">
        <v>600.80071209141602</v>
      </c>
      <c r="O17" s="23">
        <v>2.0085604005781854</v>
      </c>
      <c r="P17" s="21">
        <v>0.97986900690744017</v>
      </c>
      <c r="Q17" s="21">
        <v>1.5940534683293763</v>
      </c>
      <c r="R17" s="23">
        <v>18.512039536251148</v>
      </c>
      <c r="S17" s="23">
        <v>19.931158380356045</v>
      </c>
      <c r="T17" s="89">
        <v>1295.5252947231429</v>
      </c>
      <c r="U17" s="24">
        <v>70.500815762131012</v>
      </c>
      <c r="V17" s="23">
        <v>13.076241134751765</v>
      </c>
      <c r="W17" s="23">
        <v>8.0886237189310695</v>
      </c>
      <c r="Y17" s="16"/>
    </row>
    <row r="18" spans="1:25">
      <c r="A18" s="102">
        <v>71</v>
      </c>
      <c r="B18" s="103">
        <v>39.185275745391799</v>
      </c>
      <c r="C18" s="104">
        <v>176.49</v>
      </c>
      <c r="D18" s="104">
        <v>179.70291376364031</v>
      </c>
      <c r="E18" s="103">
        <v>45.354509762651283</v>
      </c>
      <c r="F18" s="104">
        <v>711.8729493089229</v>
      </c>
      <c r="G18" s="104">
        <v>21.060000000000002</v>
      </c>
      <c r="H18" s="104">
        <v>169.09808795681002</v>
      </c>
      <c r="I18" s="103">
        <v>4.7921002701970536</v>
      </c>
      <c r="J18" s="104">
        <v>75.716887743939651</v>
      </c>
      <c r="K18" s="104">
        <v>155.43</v>
      </c>
      <c r="L18" s="104">
        <v>181.09204832918954</v>
      </c>
      <c r="M18" s="103">
        <v>40.562409492454229</v>
      </c>
      <c r="N18" s="104">
        <v>636.15606156498325</v>
      </c>
      <c r="O18" s="103">
        <v>2.0011467777064382</v>
      </c>
      <c r="P18" s="105">
        <v>0.92618392336024513</v>
      </c>
      <c r="Q18" s="105">
        <v>1.5421505560965367</v>
      </c>
      <c r="R18" s="103">
        <v>17.678587055946007</v>
      </c>
      <c r="S18" s="103">
        <v>19.811232844234503</v>
      </c>
      <c r="T18" s="106">
        <v>1406.5975319406498</v>
      </c>
      <c r="U18" s="104">
        <v>67.978785124145332</v>
      </c>
      <c r="V18" s="103">
        <v>11.932687404385517</v>
      </c>
      <c r="W18" s="103">
        <v>8.6192060024948614</v>
      </c>
      <c r="Y18" s="16"/>
    </row>
    <row r="19" spans="1:25">
      <c r="A19" s="100">
        <v>77</v>
      </c>
      <c r="B19" s="23">
        <v>40.582289409637397</v>
      </c>
      <c r="C19" s="24">
        <v>155.43</v>
      </c>
      <c r="D19" s="24">
        <v>193.09892899542817</v>
      </c>
      <c r="E19" s="23">
        <v>46.1195130326157</v>
      </c>
      <c r="F19" s="24">
        <v>742.22758390065928</v>
      </c>
      <c r="G19" s="24">
        <v>17.100000000000023</v>
      </c>
      <c r="H19" s="24">
        <v>182.57027566357581</v>
      </c>
      <c r="I19" s="23">
        <v>4.5357215897655863</v>
      </c>
      <c r="J19" s="24">
        <v>73.545409991941142</v>
      </c>
      <c r="K19" s="24">
        <v>138.32999999999998</v>
      </c>
      <c r="L19" s="24">
        <v>194.36084814495615</v>
      </c>
      <c r="M19" s="23">
        <v>41.583791442850114</v>
      </c>
      <c r="N19" s="24">
        <v>668.68217390871814</v>
      </c>
      <c r="O19" s="23">
        <v>1.9994526537237693</v>
      </c>
      <c r="P19" s="21">
        <v>0.88197634118545432</v>
      </c>
      <c r="Q19" s="21">
        <v>1.4941531561430594</v>
      </c>
      <c r="R19" s="23">
        <v>16.975026896913295</v>
      </c>
      <c r="S19" s="23">
        <v>19.645052652939295</v>
      </c>
      <c r="T19" s="89">
        <v>1512.6690542763258</v>
      </c>
      <c r="U19" s="24">
        <v>65.596041328285523</v>
      </c>
      <c r="V19" s="23">
        <v>11.001737116386812</v>
      </c>
      <c r="W19" s="23">
        <v>9.1364292535692613</v>
      </c>
      <c r="Y19" s="16"/>
    </row>
    <row r="20" spans="1:25">
      <c r="A20" s="107">
        <v>83</v>
      </c>
      <c r="B20" s="108">
        <v>41.840952224731403</v>
      </c>
      <c r="C20" s="109">
        <v>138.32999999999998</v>
      </c>
      <c r="D20" s="109">
        <v>206.35756406729877</v>
      </c>
      <c r="E20" s="108">
        <v>46.875649489962839</v>
      </c>
      <c r="F20" s="109">
        <v>770.53233529019792</v>
      </c>
      <c r="G20" s="109">
        <v>138.32999999999998</v>
      </c>
      <c r="H20" s="109">
        <v>206.35756406729877</v>
      </c>
      <c r="I20" s="108">
        <v>46.875649489962839</v>
      </c>
      <c r="J20" s="109">
        <v>770.53233529019792</v>
      </c>
      <c r="K20" s="109" t="s">
        <v>27</v>
      </c>
      <c r="L20" s="109" t="s">
        <v>27</v>
      </c>
      <c r="M20" s="108" t="s">
        <v>27</v>
      </c>
      <c r="N20" s="109" t="s">
        <v>27</v>
      </c>
      <c r="O20" s="108" t="s">
        <v>27</v>
      </c>
      <c r="P20" s="110" t="s">
        <v>27</v>
      </c>
      <c r="Q20" s="110">
        <v>1.4498994104834735</v>
      </c>
      <c r="R20" s="108" t="s">
        <v>27</v>
      </c>
      <c r="S20" s="108">
        <v>19.452038742865128</v>
      </c>
      <c r="T20" s="111">
        <v>1614.5192156578055</v>
      </c>
      <c r="U20" s="109">
        <v>63.698769038361597</v>
      </c>
      <c r="V20" s="112" t="s">
        <v>27</v>
      </c>
      <c r="W20" s="113" t="s">
        <v>27</v>
      </c>
    </row>
    <row r="22" spans="1:25">
      <c r="A22" s="12" t="s">
        <v>32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 spans="1:25" ht="15" customHeight="1">
      <c r="A23" s="187" t="s">
        <v>1</v>
      </c>
      <c r="B23" s="187" t="s">
        <v>2</v>
      </c>
      <c r="C23" s="189" t="s">
        <v>33</v>
      </c>
      <c r="D23" s="190"/>
      <c r="E23" s="190"/>
      <c r="F23" s="190"/>
      <c r="G23" s="190"/>
      <c r="H23" s="190"/>
      <c r="I23" s="190"/>
      <c r="J23" s="191"/>
      <c r="K23" s="189" t="s">
        <v>105</v>
      </c>
      <c r="L23" s="191"/>
      <c r="M23" s="189" t="s">
        <v>34</v>
      </c>
      <c r="N23" s="190"/>
      <c r="O23" s="190"/>
      <c r="P23" s="190"/>
      <c r="Q23" s="190"/>
      <c r="R23" s="190"/>
      <c r="S23" s="190"/>
      <c r="T23" s="191"/>
      <c r="U23" s="189" t="s">
        <v>106</v>
      </c>
      <c r="V23" s="191"/>
      <c r="W23" s="193" t="s">
        <v>113</v>
      </c>
    </row>
    <row r="24" spans="1:25">
      <c r="A24" s="188"/>
      <c r="B24" s="188"/>
      <c r="C24" s="96" t="s">
        <v>19</v>
      </c>
      <c r="D24" s="96" t="s">
        <v>20</v>
      </c>
      <c r="E24" s="96" t="s">
        <v>21</v>
      </c>
      <c r="F24" s="96" t="s">
        <v>22</v>
      </c>
      <c r="G24" s="96" t="s">
        <v>23</v>
      </c>
      <c r="H24" s="96" t="s">
        <v>24</v>
      </c>
      <c r="I24" s="96" t="s">
        <v>25</v>
      </c>
      <c r="J24" s="96" t="s">
        <v>26</v>
      </c>
      <c r="K24" s="126" t="s">
        <v>105</v>
      </c>
      <c r="L24" s="126" t="s">
        <v>107</v>
      </c>
      <c r="M24" s="96" t="s">
        <v>19</v>
      </c>
      <c r="N24" s="96" t="s">
        <v>20</v>
      </c>
      <c r="O24" s="96" t="s">
        <v>21</v>
      </c>
      <c r="P24" s="96" t="s">
        <v>22</v>
      </c>
      <c r="Q24" s="96" t="s">
        <v>23</v>
      </c>
      <c r="R24" s="96" t="s">
        <v>24</v>
      </c>
      <c r="S24" s="96" t="s">
        <v>25</v>
      </c>
      <c r="T24" s="96" t="s">
        <v>26</v>
      </c>
      <c r="U24" s="137" t="s">
        <v>106</v>
      </c>
      <c r="V24" s="137" t="s">
        <v>107</v>
      </c>
      <c r="W24" s="194"/>
    </row>
    <row r="25" spans="1:25" s="95" customFormat="1" ht="12">
      <c r="A25" s="92" t="s">
        <v>65</v>
      </c>
      <c r="B25" s="92" t="s">
        <v>66</v>
      </c>
      <c r="C25" s="92" t="s">
        <v>70</v>
      </c>
      <c r="D25" s="92" t="s">
        <v>70</v>
      </c>
      <c r="E25" s="92" t="s">
        <v>70</v>
      </c>
      <c r="F25" s="92" t="s">
        <v>70</v>
      </c>
      <c r="G25" s="92" t="s">
        <v>70</v>
      </c>
      <c r="H25" s="92" t="s">
        <v>70</v>
      </c>
      <c r="I25" s="92" t="s">
        <v>70</v>
      </c>
      <c r="J25" s="92" t="s">
        <v>70</v>
      </c>
      <c r="K25" s="92" t="s">
        <v>75</v>
      </c>
      <c r="L25" s="92" t="s">
        <v>75</v>
      </c>
      <c r="M25" s="92" t="s">
        <v>70</v>
      </c>
      <c r="N25" s="92" t="s">
        <v>70</v>
      </c>
      <c r="O25" s="92" t="s">
        <v>70</v>
      </c>
      <c r="P25" s="92" t="s">
        <v>70</v>
      </c>
      <c r="Q25" s="92" t="s">
        <v>70</v>
      </c>
      <c r="R25" s="92" t="s">
        <v>70</v>
      </c>
      <c r="S25" s="92" t="s">
        <v>70</v>
      </c>
      <c r="T25" s="92" t="s">
        <v>70</v>
      </c>
      <c r="U25" s="92" t="s">
        <v>75</v>
      </c>
      <c r="V25" s="92" t="s">
        <v>75</v>
      </c>
      <c r="W25" s="92" t="s">
        <v>75</v>
      </c>
    </row>
    <row r="26" spans="1:25">
      <c r="A26" s="87">
        <v>17</v>
      </c>
      <c r="B26" s="23">
        <v>12.925321347236601</v>
      </c>
      <c r="C26" s="24">
        <v>50.34430981597788</v>
      </c>
      <c r="D26" s="24">
        <v>99.36487824200151</v>
      </c>
      <c r="E26" s="24">
        <v>11.4802537422214</v>
      </c>
      <c r="F26" s="24">
        <v>0</v>
      </c>
      <c r="G26" s="24">
        <v>0</v>
      </c>
      <c r="H26" s="24">
        <v>0</v>
      </c>
      <c r="I26" s="24">
        <v>0</v>
      </c>
      <c r="J26" s="24">
        <v>0</v>
      </c>
      <c r="K26" s="88">
        <v>4428.1766058258181</v>
      </c>
      <c r="L26" s="88">
        <v>3162.4379518638484</v>
      </c>
      <c r="M26" s="25">
        <v>21.757684353315753</v>
      </c>
      <c r="N26" s="25">
        <v>23.237475279613538</v>
      </c>
      <c r="O26" s="25">
        <v>2.8603955848942997</v>
      </c>
      <c r="P26" s="25">
        <v>0</v>
      </c>
      <c r="Q26" s="25">
        <v>0</v>
      </c>
      <c r="R26" s="25">
        <v>0</v>
      </c>
      <c r="S26" s="25">
        <v>0</v>
      </c>
      <c r="T26" s="25">
        <v>0</v>
      </c>
      <c r="U26" s="88">
        <v>773.05492305365124</v>
      </c>
      <c r="V26" s="88">
        <v>552.0868847741292</v>
      </c>
      <c r="W26" s="89">
        <v>3162.4379518638484</v>
      </c>
    </row>
    <row r="27" spans="1:25">
      <c r="A27" s="114">
        <v>23</v>
      </c>
      <c r="B27" s="103">
        <v>17.556837230682302</v>
      </c>
      <c r="C27" s="104">
        <v>8.9833326177240167</v>
      </c>
      <c r="D27" s="104">
        <v>115.86960565476673</v>
      </c>
      <c r="E27" s="104">
        <v>77.58731966592083</v>
      </c>
      <c r="F27" s="104">
        <v>63.90373905887045</v>
      </c>
      <c r="G27" s="104">
        <v>0</v>
      </c>
      <c r="H27" s="104">
        <v>0</v>
      </c>
      <c r="I27" s="104">
        <v>0</v>
      </c>
      <c r="J27" s="104">
        <v>0</v>
      </c>
      <c r="K27" s="115">
        <v>10460.988129931948</v>
      </c>
      <c r="L27" s="115">
        <v>6633.8975275609228</v>
      </c>
      <c r="M27" s="116">
        <v>7.7309053812944724</v>
      </c>
      <c r="N27" s="116">
        <v>38.306684850205009</v>
      </c>
      <c r="O27" s="116">
        <v>9.6194659146259838</v>
      </c>
      <c r="P27" s="116">
        <v>7.5732452010563849</v>
      </c>
      <c r="Q27" s="116">
        <v>0</v>
      </c>
      <c r="R27" s="116">
        <v>0</v>
      </c>
      <c r="S27" s="116">
        <v>0</v>
      </c>
      <c r="T27" s="116">
        <v>0</v>
      </c>
      <c r="U27" s="115">
        <v>1651.0517389669312</v>
      </c>
      <c r="V27" s="115">
        <v>1047.0242306908285</v>
      </c>
      <c r="W27" s="106">
        <v>7185.9844123350522</v>
      </c>
    </row>
    <row r="28" spans="1:25">
      <c r="A28" s="87">
        <v>29</v>
      </c>
      <c r="B28" s="23">
        <v>21.7687024040222</v>
      </c>
      <c r="C28" s="24">
        <v>0.17587211760233729</v>
      </c>
      <c r="D28" s="24">
        <v>28.282074433147404</v>
      </c>
      <c r="E28" s="24">
        <v>75.771943028056441</v>
      </c>
      <c r="F28" s="24">
        <v>197.20418929340698</v>
      </c>
      <c r="G28" s="24">
        <v>61.680487746777708</v>
      </c>
      <c r="H28" s="24">
        <v>0</v>
      </c>
      <c r="I28" s="24">
        <v>0</v>
      </c>
      <c r="J28" s="24">
        <v>0</v>
      </c>
      <c r="K28" s="88">
        <v>18191.811387137721</v>
      </c>
      <c r="L28" s="88">
        <v>10244.032874345048</v>
      </c>
      <c r="M28" s="25">
        <v>0.17587211760233729</v>
      </c>
      <c r="N28" s="25">
        <v>20.692501166361509</v>
      </c>
      <c r="O28" s="25">
        <v>28.379093611290209</v>
      </c>
      <c r="P28" s="25">
        <v>21.815507491939172</v>
      </c>
      <c r="Q28" s="25">
        <v>6.6361041248174555</v>
      </c>
      <c r="R28" s="25">
        <v>0</v>
      </c>
      <c r="S28" s="25">
        <v>0</v>
      </c>
      <c r="T28" s="25">
        <v>0</v>
      </c>
      <c r="U28" s="88">
        <v>2964.8082172150621</v>
      </c>
      <c r="V28" s="88">
        <v>1669.5199942955248</v>
      </c>
      <c r="W28" s="89">
        <v>11843.143989810005</v>
      </c>
    </row>
    <row r="29" spans="1:25">
      <c r="A29" s="114">
        <v>35</v>
      </c>
      <c r="B29" s="103">
        <v>25.467121082305901</v>
      </c>
      <c r="C29" s="104">
        <v>0</v>
      </c>
      <c r="D29" s="104">
        <v>0.93686559538569381</v>
      </c>
      <c r="E29" s="104">
        <v>10.88748605300974</v>
      </c>
      <c r="F29" s="104">
        <v>174.47737082602259</v>
      </c>
      <c r="G29" s="104">
        <v>255.83585016118042</v>
      </c>
      <c r="H29" s="104">
        <v>0</v>
      </c>
      <c r="I29" s="104">
        <v>0</v>
      </c>
      <c r="J29" s="104">
        <v>0</v>
      </c>
      <c r="K29" s="115">
        <v>26100.479036079469</v>
      </c>
      <c r="L29" s="115">
        <v>13050.960239945191</v>
      </c>
      <c r="M29" s="116">
        <v>0</v>
      </c>
      <c r="N29" s="116">
        <v>0.93686559538569381</v>
      </c>
      <c r="O29" s="116">
        <v>8.9958108027130628</v>
      </c>
      <c r="P29" s="116">
        <v>49.606817523160807</v>
      </c>
      <c r="Q29" s="116">
        <v>21.093295503531525</v>
      </c>
      <c r="R29" s="116">
        <v>0</v>
      </c>
      <c r="S29" s="116">
        <v>0</v>
      </c>
      <c r="T29" s="116">
        <v>0</v>
      </c>
      <c r="U29" s="115">
        <v>3915.1573254845489</v>
      </c>
      <c r="V29" s="115">
        <v>1957.6867733882084</v>
      </c>
      <c r="W29" s="106">
        <v>16319.591349705674</v>
      </c>
    </row>
    <row r="30" spans="1:25">
      <c r="A30" s="87">
        <v>41</v>
      </c>
      <c r="B30" s="23">
        <v>28.675885902404701</v>
      </c>
      <c r="C30" s="24">
        <v>0</v>
      </c>
      <c r="D30" s="24">
        <v>0</v>
      </c>
      <c r="E30" s="24">
        <v>0</v>
      </c>
      <c r="F30" s="24">
        <v>34.858608133940095</v>
      </c>
      <c r="G30" s="24">
        <v>377.61793974939241</v>
      </c>
      <c r="H30" s="24">
        <v>98.873932150768326</v>
      </c>
      <c r="I30" s="24">
        <v>0</v>
      </c>
      <c r="J30" s="24">
        <v>0</v>
      </c>
      <c r="K30" s="88">
        <v>33731.080438845915</v>
      </c>
      <c r="L30" s="88">
        <v>14976.944141760327</v>
      </c>
      <c r="M30" s="25">
        <v>0</v>
      </c>
      <c r="N30" s="25">
        <v>0</v>
      </c>
      <c r="O30" s="25">
        <v>0</v>
      </c>
      <c r="P30" s="25">
        <v>24.143925610596778</v>
      </c>
      <c r="Q30" s="25">
        <v>59.283770539764603</v>
      </c>
      <c r="R30" s="25">
        <v>7.7624086284547289</v>
      </c>
      <c r="S30" s="25">
        <v>0</v>
      </c>
      <c r="T30" s="25">
        <v>0</v>
      </c>
      <c r="U30" s="88">
        <v>5211.423917934776</v>
      </c>
      <c r="V30" s="88">
        <v>2313.9254332350511</v>
      </c>
      <c r="W30" s="89">
        <v>20203.262024909018</v>
      </c>
    </row>
    <row r="31" spans="1:25">
      <c r="A31" s="114">
        <v>47</v>
      </c>
      <c r="B31" s="103">
        <v>31.4265902156829</v>
      </c>
      <c r="C31" s="104">
        <v>0</v>
      </c>
      <c r="D31" s="104">
        <v>0</v>
      </c>
      <c r="E31" s="104">
        <v>0</v>
      </c>
      <c r="F31" s="104">
        <v>0</v>
      </c>
      <c r="G31" s="104">
        <v>254.37633817830243</v>
      </c>
      <c r="H31" s="104">
        <v>305.91566498052936</v>
      </c>
      <c r="I31" s="104">
        <v>0</v>
      </c>
      <c r="J31" s="104">
        <v>0</v>
      </c>
      <c r="K31" s="115">
        <v>39882.596052631568</v>
      </c>
      <c r="L31" s="115">
        <v>15724.445767574654</v>
      </c>
      <c r="M31" s="116">
        <v>0</v>
      </c>
      <c r="N31" s="116">
        <v>0</v>
      </c>
      <c r="O31" s="116">
        <v>0</v>
      </c>
      <c r="P31" s="116">
        <v>0</v>
      </c>
      <c r="Q31" s="116">
        <v>67.031403063990624</v>
      </c>
      <c r="R31" s="116">
        <v>20.625409511506248</v>
      </c>
      <c r="S31" s="116">
        <v>0</v>
      </c>
      <c r="T31" s="116">
        <v>0</v>
      </c>
      <c r="U31" s="115">
        <v>5563.7406692402637</v>
      </c>
      <c r="V31" s="115">
        <v>2193.6069132226266</v>
      </c>
      <c r="W31" s="106">
        <v>23264.689083958398</v>
      </c>
    </row>
    <row r="32" spans="1:25">
      <c r="A32" s="87">
        <v>53</v>
      </c>
      <c r="B32" s="23">
        <v>33.792086364745998</v>
      </c>
      <c r="C32" s="24">
        <v>0</v>
      </c>
      <c r="D32" s="24">
        <v>0</v>
      </c>
      <c r="E32" s="24">
        <v>0</v>
      </c>
      <c r="F32" s="24">
        <v>0</v>
      </c>
      <c r="G32" s="24">
        <v>45.184853783869428</v>
      </c>
      <c r="H32" s="24">
        <v>458.48979709273516</v>
      </c>
      <c r="I32" s="24">
        <v>100.16162728130276</v>
      </c>
      <c r="J32" s="24">
        <v>0</v>
      </c>
      <c r="K32" s="88">
        <v>45115.255368639555</v>
      </c>
      <c r="L32" s="88">
        <v>15794.806747336719</v>
      </c>
      <c r="M32" s="25">
        <v>0</v>
      </c>
      <c r="N32" s="25">
        <v>0</v>
      </c>
      <c r="O32" s="25">
        <v>0</v>
      </c>
      <c r="P32" s="25">
        <v>0</v>
      </c>
      <c r="Q32" s="25">
        <v>27.647197568757139</v>
      </c>
      <c r="R32" s="25">
        <v>49.659202555077385</v>
      </c>
      <c r="S32" s="25">
        <v>6.7814465257793461</v>
      </c>
      <c r="T32" s="25">
        <v>0</v>
      </c>
      <c r="U32" s="88">
        <v>5678.1516414531543</v>
      </c>
      <c r="V32" s="88">
        <v>1987.9153320977823</v>
      </c>
      <c r="W32" s="89">
        <v>25528.656976943086</v>
      </c>
    </row>
    <row r="33" spans="1:25">
      <c r="A33" s="114">
        <v>59</v>
      </c>
      <c r="B33" s="103">
        <v>35.832014827728202</v>
      </c>
      <c r="C33" s="104">
        <v>0</v>
      </c>
      <c r="D33" s="104">
        <v>0</v>
      </c>
      <c r="E33" s="104">
        <v>0</v>
      </c>
      <c r="F33" s="104">
        <v>0</v>
      </c>
      <c r="G33" s="104">
        <v>0</v>
      </c>
      <c r="H33" s="104">
        <v>335.35339326083277</v>
      </c>
      <c r="I33" s="104">
        <v>307.81480475731701</v>
      </c>
      <c r="J33" s="104">
        <v>0</v>
      </c>
      <c r="K33" s="115">
        <v>49384.259456144973</v>
      </c>
      <c r="L33" s="115">
        <v>15352.475454935577</v>
      </c>
      <c r="M33" s="116">
        <v>0</v>
      </c>
      <c r="N33" s="116">
        <v>0</v>
      </c>
      <c r="O33" s="116">
        <v>0</v>
      </c>
      <c r="P33" s="116">
        <v>0</v>
      </c>
      <c r="Q33" s="116">
        <v>0</v>
      </c>
      <c r="R33" s="116">
        <v>68.870698596362899</v>
      </c>
      <c r="S33" s="116">
        <v>11.870166078038</v>
      </c>
      <c r="T33" s="116">
        <v>0</v>
      </c>
      <c r="U33" s="115">
        <v>5651.8285158720364</v>
      </c>
      <c r="V33" s="115">
        <v>1757.0286467995929</v>
      </c>
      <c r="W33" s="106">
        <v>27074.241016639728</v>
      </c>
    </row>
    <row r="34" spans="1:25">
      <c r="A34" s="87">
        <v>65</v>
      </c>
      <c r="B34" s="23">
        <v>37.622863426208497</v>
      </c>
      <c r="C34" s="24">
        <v>0</v>
      </c>
      <c r="D34" s="24">
        <v>0</v>
      </c>
      <c r="E34" s="24">
        <v>0</v>
      </c>
      <c r="F34" s="24">
        <v>0</v>
      </c>
      <c r="G34" s="24">
        <v>0</v>
      </c>
      <c r="H34" s="24">
        <v>74.270873508903236</v>
      </c>
      <c r="I34" s="24">
        <v>534.23363949600139</v>
      </c>
      <c r="J34" s="24">
        <v>70.523440643063793</v>
      </c>
      <c r="K34" s="88">
        <v>52639.636324739018</v>
      </c>
      <c r="L34" s="88">
        <v>14531.20787729965</v>
      </c>
      <c r="M34" s="25">
        <v>0</v>
      </c>
      <c r="N34" s="25">
        <v>0</v>
      </c>
      <c r="O34" s="25">
        <v>0</v>
      </c>
      <c r="P34" s="25">
        <v>0</v>
      </c>
      <c r="Q34" s="25">
        <v>0</v>
      </c>
      <c r="R34" s="25">
        <v>37.399345598412062</v>
      </c>
      <c r="S34" s="25">
        <v>37.41753738956109</v>
      </c>
      <c r="T34" s="25">
        <v>3.4103585685807065</v>
      </c>
      <c r="U34" s="88">
        <v>5538.6681449876696</v>
      </c>
      <c r="V34" s="88">
        <v>1528.9531576867801</v>
      </c>
      <c r="W34" s="89">
        <v>28010.002085803393</v>
      </c>
    </row>
    <row r="35" spans="1:25">
      <c r="A35" s="114">
        <v>71</v>
      </c>
      <c r="B35" s="103">
        <v>39.185275745391799</v>
      </c>
      <c r="C35" s="104">
        <v>0</v>
      </c>
      <c r="D35" s="104">
        <v>0</v>
      </c>
      <c r="E35" s="104">
        <v>0</v>
      </c>
      <c r="F35" s="104">
        <v>0</v>
      </c>
      <c r="G35" s="104">
        <v>0</v>
      </c>
      <c r="H35" s="104">
        <v>0.51764561493044414</v>
      </c>
      <c r="I35" s="104">
        <v>437.19365952598605</v>
      </c>
      <c r="J35" s="104">
        <v>273.81466109543999</v>
      </c>
      <c r="K35" s="115">
        <v>54858.779741216757</v>
      </c>
      <c r="L35" s="115">
        <v>13447.264521891653</v>
      </c>
      <c r="M35" s="116">
        <v>0</v>
      </c>
      <c r="N35" s="116">
        <v>0</v>
      </c>
      <c r="O35" s="116">
        <v>0</v>
      </c>
      <c r="P35" s="116">
        <v>0</v>
      </c>
      <c r="Q35" s="116">
        <v>0</v>
      </c>
      <c r="R35" s="116">
        <v>0.51764561493044414</v>
      </c>
      <c r="S35" s="116">
        <v>66.441975880354335</v>
      </c>
      <c r="T35" s="116">
        <v>8.4102831760893331</v>
      </c>
      <c r="U35" s="115">
        <v>5305.4992164906016</v>
      </c>
      <c r="V35" s="115">
        <v>1300.5110890433309</v>
      </c>
      <c r="W35" s="106">
        <v>28455.011888082176</v>
      </c>
    </row>
    <row r="36" spans="1:25">
      <c r="A36" s="87">
        <v>77</v>
      </c>
      <c r="B36" s="23">
        <v>40.582289409637397</v>
      </c>
      <c r="C36" s="24">
        <v>0</v>
      </c>
      <c r="D36" s="24">
        <v>0</v>
      </c>
      <c r="E36" s="24">
        <v>0</v>
      </c>
      <c r="F36" s="24">
        <v>0</v>
      </c>
      <c r="G36" s="24">
        <v>0</v>
      </c>
      <c r="H36" s="24">
        <v>0</v>
      </c>
      <c r="I36" s="24">
        <v>159.51642356748397</v>
      </c>
      <c r="J36" s="24">
        <v>582.35127202694753</v>
      </c>
      <c r="K36" s="88">
        <v>56139.802308463892</v>
      </c>
      <c r="L36" s="88">
        <v>12219.618668333664</v>
      </c>
      <c r="M36" s="25">
        <v>0</v>
      </c>
      <c r="N36" s="25">
        <v>0</v>
      </c>
      <c r="O36" s="25">
        <v>0</v>
      </c>
      <c r="P36" s="25">
        <v>0</v>
      </c>
      <c r="Q36" s="25">
        <v>0</v>
      </c>
      <c r="R36" s="25">
        <v>0</v>
      </c>
      <c r="S36" s="25">
        <v>50.731715181729349</v>
      </c>
      <c r="T36" s="25">
        <v>22.453806503985678</v>
      </c>
      <c r="U36" s="88">
        <v>5043.0275743300126</v>
      </c>
      <c r="V36" s="88">
        <v>1097.685979612254</v>
      </c>
      <c r="W36" s="89">
        <v>28527.877123567516</v>
      </c>
    </row>
    <row r="37" spans="1:25">
      <c r="A37" s="114">
        <v>83</v>
      </c>
      <c r="B37" s="108">
        <v>41.840952224731403</v>
      </c>
      <c r="C37" s="109">
        <v>0</v>
      </c>
      <c r="D37" s="109">
        <v>0</v>
      </c>
      <c r="E37" s="109">
        <v>0</v>
      </c>
      <c r="F37" s="109">
        <v>0</v>
      </c>
      <c r="G37" s="109">
        <v>0</v>
      </c>
      <c r="H37" s="109">
        <v>0</v>
      </c>
      <c r="I37" s="109">
        <v>1.9334612535733442</v>
      </c>
      <c r="J37" s="109">
        <v>768.59887403662572</v>
      </c>
      <c r="K37" s="117">
        <v>56563.79423469516</v>
      </c>
      <c r="L37" s="117">
        <v>10932.620616837587</v>
      </c>
      <c r="M37" s="118">
        <v>0</v>
      </c>
      <c r="N37" s="118">
        <v>0</v>
      </c>
      <c r="O37" s="118">
        <v>0</v>
      </c>
      <c r="P37" s="118">
        <v>0</v>
      </c>
      <c r="Q37" s="118">
        <v>0</v>
      </c>
      <c r="R37" s="118">
        <v>0</v>
      </c>
      <c r="S37" s="118">
        <v>1.9334612535733442</v>
      </c>
      <c r="T37" s="118">
        <v>768.59887403662572</v>
      </c>
      <c r="U37" s="117">
        <v>56563.79423469516</v>
      </c>
      <c r="V37" s="117">
        <v>10932.620616837587</v>
      </c>
      <c r="W37" s="111">
        <v>28338.565051683694</v>
      </c>
    </row>
    <row r="38" spans="1:25" s="10" customFormat="1">
      <c r="A38" s="26" t="s">
        <v>13</v>
      </c>
      <c r="B38" s="27" t="s">
        <v>27</v>
      </c>
      <c r="C38" s="27" t="s">
        <v>27</v>
      </c>
      <c r="D38" s="27" t="s">
        <v>27</v>
      </c>
      <c r="E38" s="27" t="s">
        <v>27</v>
      </c>
      <c r="F38" s="27" t="s">
        <v>27</v>
      </c>
      <c r="G38" s="27" t="s">
        <v>27</v>
      </c>
      <c r="H38" s="27" t="s">
        <v>27</v>
      </c>
      <c r="I38" s="27" t="s">
        <v>27</v>
      </c>
      <c r="J38" s="27" t="s">
        <v>27</v>
      </c>
      <c r="K38" s="27" t="s">
        <v>27</v>
      </c>
      <c r="L38" s="27" t="s">
        <v>27</v>
      </c>
      <c r="M38" s="26">
        <v>29.664461852212565</v>
      </c>
      <c r="N38" s="26">
        <v>83.173526891565757</v>
      </c>
      <c r="O38" s="26">
        <v>49.854765913523551</v>
      </c>
      <c r="P38" s="26">
        <v>103.13949582675315</v>
      </c>
      <c r="Q38" s="26">
        <v>181.69177080086135</v>
      </c>
      <c r="R38" s="26">
        <v>184.83471050474375</v>
      </c>
      <c r="S38" s="26">
        <v>175.17630230903546</v>
      </c>
      <c r="T38" s="26">
        <v>802.87332228528146</v>
      </c>
      <c r="U38" s="27" t="s">
        <v>27</v>
      </c>
      <c r="V38" s="90">
        <v>28338.565051683694</v>
      </c>
      <c r="W38" s="28" t="s">
        <v>27</v>
      </c>
    </row>
    <row r="39" spans="1:25">
      <c r="A39" s="17"/>
      <c r="V39" s="9"/>
    </row>
    <row r="40" spans="1:25">
      <c r="H40" s="15"/>
      <c r="I40" s="15"/>
      <c r="J40" s="15"/>
      <c r="W40" s="15" t="s">
        <v>77</v>
      </c>
    </row>
    <row r="41" spans="1:25">
      <c r="V41" s="9"/>
      <c r="W41" s="15" t="s">
        <v>78</v>
      </c>
      <c r="X41" s="9"/>
      <c r="Y41" s="9"/>
    </row>
    <row r="42" spans="1:25">
      <c r="A42" s="8"/>
      <c r="B42" s="8"/>
      <c r="C42" s="8"/>
      <c r="D42" s="8"/>
      <c r="E42" s="8"/>
      <c r="F42" s="8"/>
      <c r="G42" s="8"/>
      <c r="H42" s="8"/>
      <c r="I42" s="8"/>
      <c r="J42" s="8"/>
      <c r="V42" s="9"/>
      <c r="W42" s="15"/>
      <c r="X42" s="9"/>
      <c r="Y42" s="15"/>
    </row>
    <row r="43" spans="1:25">
      <c r="V43" s="9"/>
      <c r="W43" s="9"/>
      <c r="X43" s="9"/>
      <c r="Y43" s="9"/>
    </row>
    <row r="44" spans="1:25"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spans="1:25">
      <c r="V45" s="9"/>
      <c r="W45" s="9"/>
      <c r="X45" s="9"/>
      <c r="Y45" s="9"/>
    </row>
    <row r="46" spans="1:25">
      <c r="V46" s="9"/>
      <c r="W46" s="9"/>
      <c r="X46" s="9"/>
      <c r="Y46" s="9"/>
    </row>
  </sheetData>
  <mergeCells count="17">
    <mergeCell ref="D1:T1"/>
    <mergeCell ref="U6:U7"/>
    <mergeCell ref="V6:V7"/>
    <mergeCell ref="W6:W7"/>
    <mergeCell ref="W23:W24"/>
    <mergeCell ref="O6:T6"/>
    <mergeCell ref="C6:F6"/>
    <mergeCell ref="G6:J6"/>
    <mergeCell ref="K6:N6"/>
    <mergeCell ref="K23:L23"/>
    <mergeCell ref="U23:V23"/>
    <mergeCell ref="M23:T23"/>
    <mergeCell ref="A6:A7"/>
    <mergeCell ref="B6:B7"/>
    <mergeCell ref="A23:A24"/>
    <mergeCell ref="B23:B24"/>
    <mergeCell ref="C23:J23"/>
  </mergeCells>
  <pageMargins left="0.70866141732283472" right="0.70866141732283472" top="0.74803149606299213" bottom="0.74803149606299213" header="0.31496062992125984" footer="0.31496062992125984"/>
  <pageSetup paperSize="9" scale="7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46"/>
  <sheetViews>
    <sheetView workbookViewId="0">
      <selection activeCell="W23" sqref="W23:W24"/>
    </sheetView>
  </sheetViews>
  <sheetFormatPr baseColWidth="10" defaultRowHeight="15"/>
  <cols>
    <col min="1" max="21" width="6.7109375" style="9" customWidth="1"/>
    <col min="22" max="23" width="6.7109375" style="17" customWidth="1"/>
    <col min="24" max="16384" width="11.42578125" style="17"/>
  </cols>
  <sheetData>
    <row r="1" spans="1:27" ht="30.75" customHeight="1">
      <c r="D1" s="151" t="s">
        <v>60</v>
      </c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</row>
    <row r="2" spans="1:27">
      <c r="A2" s="12"/>
      <c r="B2" s="14"/>
      <c r="C2" s="13"/>
      <c r="D2" s="13"/>
      <c r="E2" s="13"/>
      <c r="F2" s="13"/>
      <c r="G2" s="13"/>
      <c r="H2" s="13"/>
      <c r="I2" s="13"/>
      <c r="J2" s="13"/>
      <c r="K2" s="14"/>
      <c r="L2" s="13"/>
      <c r="M2" s="13"/>
      <c r="U2" s="15"/>
      <c r="V2" s="15"/>
      <c r="W2" s="15"/>
    </row>
    <row r="3" spans="1:27">
      <c r="A3" s="12" t="s">
        <v>85</v>
      </c>
      <c r="B3" s="12"/>
      <c r="C3" s="12"/>
      <c r="D3" s="14"/>
      <c r="E3" s="14" t="s">
        <v>80</v>
      </c>
      <c r="F3" s="14"/>
      <c r="G3" s="13"/>
      <c r="H3" s="13"/>
      <c r="I3" s="14"/>
      <c r="J3" s="13"/>
      <c r="K3" s="14" t="s">
        <v>86</v>
      </c>
      <c r="L3" s="14"/>
      <c r="M3" s="14"/>
      <c r="N3" s="13"/>
      <c r="R3" s="14" t="s">
        <v>83</v>
      </c>
      <c r="V3" s="9"/>
      <c r="W3" s="9"/>
    </row>
    <row r="4" spans="1:27">
      <c r="A4" s="13"/>
      <c r="B4" s="14"/>
      <c r="C4" s="13"/>
      <c r="D4" s="14"/>
      <c r="E4" s="14" t="s">
        <v>28</v>
      </c>
      <c r="F4" s="14"/>
      <c r="G4" s="13"/>
      <c r="H4" s="13"/>
      <c r="I4" s="14"/>
      <c r="J4" s="13"/>
      <c r="K4" s="14" t="s">
        <v>35</v>
      </c>
      <c r="L4" s="13"/>
      <c r="M4" s="13"/>
      <c r="N4" s="13"/>
      <c r="O4" s="8"/>
      <c r="P4" s="8"/>
      <c r="Q4" s="8"/>
      <c r="R4" s="14" t="s">
        <v>84</v>
      </c>
      <c r="S4" s="8"/>
      <c r="T4" s="8"/>
      <c r="U4" s="8"/>
      <c r="V4" s="8"/>
      <c r="W4" s="13"/>
    </row>
    <row r="5" spans="1:27">
      <c r="A5" s="12" t="s">
        <v>0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7">
      <c r="A6" s="185" t="s">
        <v>1</v>
      </c>
      <c r="B6" s="185" t="s">
        <v>2</v>
      </c>
      <c r="C6" s="198" t="s">
        <v>109</v>
      </c>
      <c r="D6" s="199"/>
      <c r="E6" s="199"/>
      <c r="F6" s="199"/>
      <c r="G6" s="199" t="s">
        <v>110</v>
      </c>
      <c r="H6" s="199"/>
      <c r="I6" s="199"/>
      <c r="J6" s="199"/>
      <c r="K6" s="199" t="s">
        <v>111</v>
      </c>
      <c r="L6" s="199"/>
      <c r="M6" s="199"/>
      <c r="N6" s="199"/>
      <c r="O6" s="195" t="s">
        <v>3</v>
      </c>
      <c r="P6" s="196"/>
      <c r="Q6" s="196"/>
      <c r="R6" s="196"/>
      <c r="S6" s="196"/>
      <c r="T6" s="197"/>
      <c r="U6" s="187" t="s">
        <v>14</v>
      </c>
      <c r="V6" s="193" t="s">
        <v>64</v>
      </c>
      <c r="W6" s="187" t="s">
        <v>31</v>
      </c>
    </row>
    <row r="7" spans="1:27">
      <c r="A7" s="186"/>
      <c r="B7" s="186"/>
      <c r="C7" s="101" t="s">
        <v>4</v>
      </c>
      <c r="D7" s="101" t="s">
        <v>5</v>
      </c>
      <c r="E7" s="101" t="s">
        <v>6</v>
      </c>
      <c r="F7" s="101" t="s">
        <v>7</v>
      </c>
      <c r="G7" s="101" t="s">
        <v>4</v>
      </c>
      <c r="H7" s="101" t="s">
        <v>5</v>
      </c>
      <c r="I7" s="101" t="s">
        <v>6</v>
      </c>
      <c r="J7" s="101" t="s">
        <v>7</v>
      </c>
      <c r="K7" s="101" t="s">
        <v>4</v>
      </c>
      <c r="L7" s="101" t="s">
        <v>5</v>
      </c>
      <c r="M7" s="101" t="s">
        <v>6</v>
      </c>
      <c r="N7" s="101" t="s">
        <v>7</v>
      </c>
      <c r="O7" s="99" t="s">
        <v>15</v>
      </c>
      <c r="P7" s="101" t="s">
        <v>8</v>
      </c>
      <c r="Q7" s="101" t="s">
        <v>9</v>
      </c>
      <c r="R7" s="101" t="s">
        <v>10</v>
      </c>
      <c r="S7" s="101" t="s">
        <v>11</v>
      </c>
      <c r="T7" s="101" t="s">
        <v>12</v>
      </c>
      <c r="U7" s="192"/>
      <c r="V7" s="194"/>
      <c r="W7" s="188"/>
    </row>
    <row r="8" spans="1:27" s="95" customFormat="1" ht="12" customHeight="1">
      <c r="A8" s="92" t="s">
        <v>65</v>
      </c>
      <c r="B8" s="92" t="s">
        <v>66</v>
      </c>
      <c r="C8" s="92" t="s">
        <v>67</v>
      </c>
      <c r="D8" s="92" t="s">
        <v>68</v>
      </c>
      <c r="E8" s="92" t="s">
        <v>69</v>
      </c>
      <c r="F8" s="92" t="s">
        <v>70</v>
      </c>
      <c r="G8" s="92" t="s">
        <v>67</v>
      </c>
      <c r="H8" s="92" t="s">
        <v>68</v>
      </c>
      <c r="I8" s="92" t="s">
        <v>69</v>
      </c>
      <c r="J8" s="92" t="s">
        <v>70</v>
      </c>
      <c r="K8" s="92" t="s">
        <v>67</v>
      </c>
      <c r="L8" s="92" t="s">
        <v>68</v>
      </c>
      <c r="M8" s="92" t="s">
        <v>69</v>
      </c>
      <c r="N8" s="92" t="s">
        <v>70</v>
      </c>
      <c r="O8" s="92" t="s">
        <v>71</v>
      </c>
      <c r="P8" s="92" t="s">
        <v>72</v>
      </c>
      <c r="Q8" s="92" t="s">
        <v>72</v>
      </c>
      <c r="R8" s="92" t="s">
        <v>73</v>
      </c>
      <c r="S8" s="92" t="s">
        <v>73</v>
      </c>
      <c r="T8" s="92" t="s">
        <v>70</v>
      </c>
      <c r="U8" s="93"/>
      <c r="V8" s="94" t="s">
        <v>74</v>
      </c>
      <c r="W8" s="92" t="s">
        <v>66</v>
      </c>
    </row>
    <row r="9" spans="1:27">
      <c r="A9" s="22">
        <v>19</v>
      </c>
      <c r="B9" s="19">
        <v>13.056189246177601</v>
      </c>
      <c r="C9" s="18">
        <v>2132.6550000000002</v>
      </c>
      <c r="D9" s="18">
        <v>41.71242681993737</v>
      </c>
      <c r="E9" s="19">
        <v>29.528518399957036</v>
      </c>
      <c r="F9" s="18">
        <v>168.0052245089831</v>
      </c>
      <c r="G9" s="18">
        <v>847.72500000000014</v>
      </c>
      <c r="H9" s="18">
        <v>37.173481097525816</v>
      </c>
      <c r="I9" s="19">
        <v>9.3220535133895979</v>
      </c>
      <c r="J9" s="18">
        <v>49.3880418939995</v>
      </c>
      <c r="K9" s="18">
        <v>1284.93</v>
      </c>
      <c r="L9" s="18">
        <v>44.453951135667516</v>
      </c>
      <c r="M9" s="19">
        <v>20.206464886567439</v>
      </c>
      <c r="N9" s="18">
        <v>118.61718261498361</v>
      </c>
      <c r="O9" s="19">
        <v>2.0987286185107679</v>
      </c>
      <c r="P9" s="20">
        <v>2.1552580468786964</v>
      </c>
      <c r="Q9" s="20">
        <v>1.5541325473661598</v>
      </c>
      <c r="R9" s="19">
        <v>22.881593927274299</v>
      </c>
      <c r="S9" s="19">
        <v>8.8423802373149005</v>
      </c>
      <c r="T9" s="91">
        <v>168.0052245089831</v>
      </c>
      <c r="U9" s="18">
        <v>92.269027098379894</v>
      </c>
      <c r="V9" s="19">
        <v>39.749748552860169</v>
      </c>
      <c r="W9" s="23">
        <v>2.9977468111599936</v>
      </c>
      <c r="Y9" s="16"/>
      <c r="Z9" s="16"/>
      <c r="AA9" s="16"/>
    </row>
    <row r="10" spans="1:27">
      <c r="A10" s="102">
        <v>25</v>
      </c>
      <c r="B10" s="103">
        <v>17.153701333999599</v>
      </c>
      <c r="C10" s="104">
        <v>1279.6199999999999</v>
      </c>
      <c r="D10" s="104">
        <v>57.046322846732124</v>
      </c>
      <c r="E10" s="103">
        <v>33.138013167839617</v>
      </c>
      <c r="F10" s="104">
        <v>255.90674617862939</v>
      </c>
      <c r="G10" s="104">
        <v>426.86999999999989</v>
      </c>
      <c r="H10" s="104">
        <v>48.366778160806042</v>
      </c>
      <c r="I10" s="103">
        <v>7.946576850458797</v>
      </c>
      <c r="J10" s="104">
        <v>57.678776180129688</v>
      </c>
      <c r="K10" s="104">
        <v>852.75</v>
      </c>
      <c r="L10" s="104">
        <v>60.92850653909985</v>
      </c>
      <c r="M10" s="103">
        <v>25.19143631738082</v>
      </c>
      <c r="N10" s="104">
        <v>198.2279699984997</v>
      </c>
      <c r="O10" s="103">
        <v>2.0656394145973387</v>
      </c>
      <c r="P10" s="105">
        <v>1.8561738309626097</v>
      </c>
      <c r="Q10" s="105">
        <v>1.6984026672491686</v>
      </c>
      <c r="R10" s="103">
        <v>23.638882439237694</v>
      </c>
      <c r="S10" s="103">
        <v>12.211791522905155</v>
      </c>
      <c r="T10" s="106">
        <v>305.29478807262888</v>
      </c>
      <c r="U10" s="104">
        <v>88.447830340603559</v>
      </c>
      <c r="V10" s="103">
        <v>33.359122239414816</v>
      </c>
      <c r="W10" s="103">
        <v>3.6797966534950022</v>
      </c>
    </row>
    <row r="11" spans="1:27">
      <c r="A11" s="100">
        <v>31</v>
      </c>
      <c r="B11" s="23">
        <v>20.855306255340501</v>
      </c>
      <c r="C11" s="24">
        <v>849.15</v>
      </c>
      <c r="D11" s="24">
        <v>73.322343026683882</v>
      </c>
      <c r="E11" s="23">
        <v>36.328479303156477</v>
      </c>
      <c r="F11" s="24">
        <v>340.06126463392587</v>
      </c>
      <c r="G11" s="24">
        <v>227.06999999999994</v>
      </c>
      <c r="H11" s="24">
        <v>64.087691570608385</v>
      </c>
      <c r="I11" s="23">
        <v>7.4216275067671127</v>
      </c>
      <c r="J11" s="24">
        <v>67.615370169786843</v>
      </c>
      <c r="K11" s="24">
        <v>622.08000000000004</v>
      </c>
      <c r="L11" s="24">
        <v>76.415632204999255</v>
      </c>
      <c r="M11" s="23">
        <v>28.906851796389365</v>
      </c>
      <c r="N11" s="24">
        <v>272.44589446413903</v>
      </c>
      <c r="O11" s="23">
        <v>2.0086733531584335</v>
      </c>
      <c r="P11" s="21">
        <v>1.6180542256138946</v>
      </c>
      <c r="Q11" s="21">
        <v>1.7289390215162863</v>
      </c>
      <c r="R11" s="23">
        <v>23.146520987554641</v>
      </c>
      <c r="S11" s="23">
        <v>14.423486538969518</v>
      </c>
      <c r="T11" s="89">
        <v>447.12808270805505</v>
      </c>
      <c r="U11" s="24">
        <v>85.740149010841549</v>
      </c>
      <c r="V11" s="23">
        <v>26.740858505564379</v>
      </c>
      <c r="W11" s="23">
        <v>4.3083558291763877</v>
      </c>
    </row>
    <row r="12" spans="1:27">
      <c r="A12" s="102">
        <v>37</v>
      </c>
      <c r="B12" s="103">
        <v>24.0996787242889</v>
      </c>
      <c r="C12" s="104">
        <v>620.01</v>
      </c>
      <c r="D12" s="104">
        <v>88.467672323949856</v>
      </c>
      <c r="E12" s="103">
        <v>38.615177150072732</v>
      </c>
      <c r="F12" s="104">
        <v>411.32502038946689</v>
      </c>
      <c r="G12" s="104">
        <v>137.06999999999994</v>
      </c>
      <c r="H12" s="104">
        <v>78.464804420636369</v>
      </c>
      <c r="I12" s="103">
        <v>6.7155616738878336</v>
      </c>
      <c r="J12" s="104">
        <v>70.581788004250768</v>
      </c>
      <c r="K12" s="104">
        <v>482.94000000000005</v>
      </c>
      <c r="L12" s="104">
        <v>91.106857526354574</v>
      </c>
      <c r="M12" s="103">
        <v>31.899615476184898</v>
      </c>
      <c r="N12" s="104">
        <v>340.74323238521612</v>
      </c>
      <c r="O12" s="103">
        <v>1.9511702522102088</v>
      </c>
      <c r="P12" s="105">
        <v>1.4364633466608605</v>
      </c>
      <c r="Q12" s="105">
        <v>1.7109577032618442</v>
      </c>
      <c r="R12" s="103">
        <v>22.220502392861249</v>
      </c>
      <c r="S12" s="103">
        <v>15.838032665767106</v>
      </c>
      <c r="T12" s="106">
        <v>586.0072086333829</v>
      </c>
      <c r="U12" s="104">
        <v>83.101728771842602</v>
      </c>
      <c r="V12" s="103">
        <v>22.107707940194501</v>
      </c>
      <c r="W12" s="103">
        <v>4.8897662119866325</v>
      </c>
    </row>
    <row r="13" spans="1:27">
      <c r="A13" s="100">
        <v>43</v>
      </c>
      <c r="B13" s="23">
        <v>26.916973001480098</v>
      </c>
      <c r="C13" s="24">
        <v>481.68000000000006</v>
      </c>
      <c r="D13" s="24">
        <v>102.81387903961583</v>
      </c>
      <c r="E13" s="23">
        <v>40.518395556150061</v>
      </c>
      <c r="F13" s="24">
        <v>474.06624674238361</v>
      </c>
      <c r="G13" s="24">
        <v>102.33000000000004</v>
      </c>
      <c r="H13" s="24">
        <v>92.316781618751165</v>
      </c>
      <c r="I13" s="23">
        <v>6.9399193135397397</v>
      </c>
      <c r="J13" s="24">
        <v>80.618696916796807</v>
      </c>
      <c r="K13" s="24">
        <v>379.35</v>
      </c>
      <c r="L13" s="24">
        <v>105.46670549939772</v>
      </c>
      <c r="M13" s="23">
        <v>33.578476242610321</v>
      </c>
      <c r="N13" s="24">
        <v>393.4475498255868</v>
      </c>
      <c r="O13" s="23">
        <v>1.9311182221850653</v>
      </c>
      <c r="P13" s="21">
        <v>1.2824848116005398</v>
      </c>
      <c r="Q13" s="21">
        <v>1.6726561651314744</v>
      </c>
      <c r="R13" s="23">
        <v>20.880334448440493</v>
      </c>
      <c r="S13" s="23">
        <v>16.728609836989545</v>
      </c>
      <c r="T13" s="89">
        <v>719.3302229905504</v>
      </c>
      <c r="U13" s="24">
        <v>80.179014066963134</v>
      </c>
      <c r="V13" s="23">
        <v>21.244394618834086</v>
      </c>
      <c r="W13" s="23">
        <v>5.5171480723015147</v>
      </c>
      <c r="Y13" s="16"/>
      <c r="AA13" s="16"/>
    </row>
    <row r="14" spans="1:27">
      <c r="A14" s="102">
        <v>49</v>
      </c>
      <c r="B14" s="103">
        <v>29.362166376113802</v>
      </c>
      <c r="C14" s="104">
        <v>378.54</v>
      </c>
      <c r="D14" s="104">
        <v>117.05341483250811</v>
      </c>
      <c r="E14" s="103">
        <v>41.27338511221356</v>
      </c>
      <c r="F14" s="104">
        <v>518.72955651622976</v>
      </c>
      <c r="G14" s="104">
        <v>68.31</v>
      </c>
      <c r="H14" s="104">
        <v>107.09609795895128</v>
      </c>
      <c r="I14" s="103">
        <v>6.2347883689853134</v>
      </c>
      <c r="J14" s="104">
        <v>78.309618060968035</v>
      </c>
      <c r="K14" s="104">
        <v>310.23</v>
      </c>
      <c r="L14" s="104">
        <v>119.13418221794734</v>
      </c>
      <c r="M14" s="103">
        <v>35.038596743228247</v>
      </c>
      <c r="N14" s="104">
        <v>440.41993845526173</v>
      </c>
      <c r="O14" s="103">
        <v>1.9030598186500167</v>
      </c>
      <c r="P14" s="105">
        <v>1.1628919335004362</v>
      </c>
      <c r="Q14" s="105">
        <v>1.6248800810256456</v>
      </c>
      <c r="R14" s="103">
        <v>19.622629801364695</v>
      </c>
      <c r="S14" s="103">
        <v>17.236984279208031</v>
      </c>
      <c r="T14" s="106">
        <v>844.61222968119341</v>
      </c>
      <c r="U14" s="104">
        <v>77.428630862573698</v>
      </c>
      <c r="V14" s="103">
        <v>18.045649072753207</v>
      </c>
      <c r="W14" s="103">
        <v>6.1008842834232304</v>
      </c>
      <c r="Y14" s="16"/>
    </row>
    <row r="15" spans="1:27">
      <c r="A15" s="100">
        <v>55</v>
      </c>
      <c r="B15" s="23">
        <v>31.4738546714782</v>
      </c>
      <c r="C15" s="24">
        <v>309.77999999999997</v>
      </c>
      <c r="D15" s="24">
        <v>130.55254112984744</v>
      </c>
      <c r="E15" s="23">
        <v>42.015948344230864</v>
      </c>
      <c r="F15" s="24">
        <v>558.1557172634499</v>
      </c>
      <c r="G15" s="24">
        <v>48.95999999999998</v>
      </c>
      <c r="H15" s="24">
        <v>120.56384342893824</v>
      </c>
      <c r="I15" s="23">
        <v>5.6632497401328337</v>
      </c>
      <c r="J15" s="24">
        <v>75.385791396877494</v>
      </c>
      <c r="K15" s="24">
        <v>260.82</v>
      </c>
      <c r="L15" s="24">
        <v>132.34356053816433</v>
      </c>
      <c r="M15" s="23">
        <v>36.35269860409803</v>
      </c>
      <c r="N15" s="24">
        <v>482.76992586657241</v>
      </c>
      <c r="O15" s="23">
        <v>1.8789984008018479</v>
      </c>
      <c r="P15" s="21">
        <v>1.0688444240570856</v>
      </c>
      <c r="Q15" s="21">
        <v>1.5744813740228953</v>
      </c>
      <c r="R15" s="23">
        <v>18.5058256825623</v>
      </c>
      <c r="S15" s="23">
        <v>17.497236517988757</v>
      </c>
      <c r="T15" s="89">
        <v>962.34800848938153</v>
      </c>
      <c r="U15" s="24">
        <v>74.713140717983748</v>
      </c>
      <c r="V15" s="23">
        <v>15.804764671702493</v>
      </c>
      <c r="W15" s="23">
        <v>6.6537156765982468</v>
      </c>
      <c r="Y15" s="16"/>
    </row>
    <row r="16" spans="1:27">
      <c r="A16" s="102">
        <v>61</v>
      </c>
      <c r="B16" s="103">
        <v>33.316066276550202</v>
      </c>
      <c r="C16" s="104">
        <v>260.55</v>
      </c>
      <c r="D16" s="104">
        <v>143.61755094297541</v>
      </c>
      <c r="E16" s="103">
        <v>42.765765148440543</v>
      </c>
      <c r="F16" s="104">
        <v>593.8048799619462</v>
      </c>
      <c r="G16" s="104">
        <v>36.720000000000027</v>
      </c>
      <c r="H16" s="104">
        <v>133.69349629076899</v>
      </c>
      <c r="I16" s="103">
        <v>5.222919958691584</v>
      </c>
      <c r="J16" s="104">
        <v>72.788826714127254</v>
      </c>
      <c r="K16" s="104">
        <v>223.82999999999998</v>
      </c>
      <c r="L16" s="104">
        <v>145.18086376912422</v>
      </c>
      <c r="M16" s="103">
        <v>37.542845189748959</v>
      </c>
      <c r="N16" s="104">
        <v>521.01605324781895</v>
      </c>
      <c r="O16" s="103">
        <v>1.858122284999401</v>
      </c>
      <c r="P16" s="105">
        <v>0.9978956000914655</v>
      </c>
      <c r="Q16" s="105">
        <v>1.5247465920590453</v>
      </c>
      <c r="R16" s="103">
        <v>17.59529310125447</v>
      </c>
      <c r="S16" s="103">
        <v>17.596442009586152</v>
      </c>
      <c r="T16" s="106">
        <v>1073.3829625847552</v>
      </c>
      <c r="U16" s="104">
        <v>72.093185247448645</v>
      </c>
      <c r="V16" s="103">
        <v>14.093264248704672</v>
      </c>
      <c r="W16" s="103">
        <v>7.1824983814522696</v>
      </c>
      <c r="Y16" s="16"/>
    </row>
    <row r="17" spans="1:25">
      <c r="A17" s="100">
        <v>67</v>
      </c>
      <c r="B17" s="23">
        <v>34.937710128784097</v>
      </c>
      <c r="C17" s="24">
        <v>223.82999999999998</v>
      </c>
      <c r="D17" s="24">
        <v>156.32959747912062</v>
      </c>
      <c r="E17" s="23">
        <v>43.530218790297752</v>
      </c>
      <c r="F17" s="24">
        <v>626.58781185534576</v>
      </c>
      <c r="G17" s="24">
        <v>28.529999999999973</v>
      </c>
      <c r="H17" s="24">
        <v>146.47602187600481</v>
      </c>
      <c r="I17" s="23">
        <v>4.8710768414848218</v>
      </c>
      <c r="J17" s="24">
        <v>70.501067328972567</v>
      </c>
      <c r="K17" s="24">
        <v>195.3</v>
      </c>
      <c r="L17" s="24">
        <v>157.71751133778997</v>
      </c>
      <c r="M17" s="23">
        <v>38.65914194881293</v>
      </c>
      <c r="N17" s="24">
        <v>556.0867445263732</v>
      </c>
      <c r="O17" s="23">
        <v>1.8472999066044526</v>
      </c>
      <c r="P17" s="21">
        <v>0.93742818864411015</v>
      </c>
      <c r="Q17" s="21">
        <v>1.4775659062112025</v>
      </c>
      <c r="R17" s="23">
        <v>16.771659965766599</v>
      </c>
      <c r="S17" s="23">
        <v>17.59633912227287</v>
      </c>
      <c r="T17" s="89">
        <v>1178.9547211922822</v>
      </c>
      <c r="U17" s="24">
        <v>69.59281346936821</v>
      </c>
      <c r="V17" s="23">
        <v>12.74628065942902</v>
      </c>
      <c r="W17" s="23">
        <v>7.6892425849309491</v>
      </c>
      <c r="Y17" s="16"/>
    </row>
    <row r="18" spans="1:25">
      <c r="A18" s="102">
        <v>73</v>
      </c>
      <c r="B18" s="103">
        <v>36.376443725585901</v>
      </c>
      <c r="C18" s="104">
        <v>195.3</v>
      </c>
      <c r="D18" s="104">
        <v>168.80131077741669</v>
      </c>
      <c r="E18" s="103">
        <v>44.283711080677591</v>
      </c>
      <c r="F18" s="104">
        <v>656.71670432097278</v>
      </c>
      <c r="G18" s="104">
        <v>22.950000000000017</v>
      </c>
      <c r="H18" s="104">
        <v>158.63781543255189</v>
      </c>
      <c r="I18" s="103">
        <v>4.596066112165019</v>
      </c>
      <c r="J18" s="104">
        <v>68.528785001061692</v>
      </c>
      <c r="K18" s="104">
        <v>172.35</v>
      </c>
      <c r="L18" s="104">
        <v>170.10886725283009</v>
      </c>
      <c r="M18" s="103">
        <v>39.687644968512572</v>
      </c>
      <c r="N18" s="104">
        <v>588.18791931991109</v>
      </c>
      <c r="O18" s="103">
        <v>1.8427245218015667</v>
      </c>
      <c r="P18" s="105">
        <v>0.8877852924056846</v>
      </c>
      <c r="Q18" s="105">
        <v>1.433171025315277</v>
      </c>
      <c r="R18" s="103">
        <v>16.071541648349712</v>
      </c>
      <c r="S18" s="103">
        <v>17.528557273792899</v>
      </c>
      <c r="T18" s="106">
        <v>1279.5846809868817</v>
      </c>
      <c r="U18" s="104">
        <v>67.180488717363986</v>
      </c>
      <c r="V18" s="103">
        <v>11.751152073732728</v>
      </c>
      <c r="W18" s="103">
        <v>8.185195188356662</v>
      </c>
      <c r="Y18" s="16"/>
    </row>
    <row r="19" spans="1:25">
      <c r="A19" s="100">
        <v>79</v>
      </c>
      <c r="B19" s="23">
        <v>37.677279090881299</v>
      </c>
      <c r="C19" s="24">
        <v>172.35</v>
      </c>
      <c r="D19" s="24">
        <v>181.16521438363949</v>
      </c>
      <c r="E19" s="23">
        <v>45.01435672294668</v>
      </c>
      <c r="F19" s="24">
        <v>684.61716921000937</v>
      </c>
      <c r="G19" s="24">
        <v>18.449999999999989</v>
      </c>
      <c r="H19" s="24">
        <v>172.24243533299392</v>
      </c>
      <c r="I19" s="23">
        <v>4.3557888730635028</v>
      </c>
      <c r="J19" s="24">
        <v>66.754630265831111</v>
      </c>
      <c r="K19" s="24">
        <v>153.9</v>
      </c>
      <c r="L19" s="24">
        <v>182.2055748084388</v>
      </c>
      <c r="M19" s="23">
        <v>40.658567849883177</v>
      </c>
      <c r="N19" s="24">
        <v>617.86253894417825</v>
      </c>
      <c r="O19" s="23">
        <v>1.8416213440765954</v>
      </c>
      <c r="P19" s="21">
        <v>0.84682522571115015</v>
      </c>
      <c r="Q19" s="21">
        <v>1.391749324081637</v>
      </c>
      <c r="R19" s="23">
        <v>15.482386774373103</v>
      </c>
      <c r="S19" s="23">
        <v>17.417897859202277</v>
      </c>
      <c r="T19" s="89">
        <v>1376.0139308769799</v>
      </c>
      <c r="U19" s="24">
        <v>64.963250067188881</v>
      </c>
      <c r="V19" s="23">
        <v>10.704960835509132</v>
      </c>
      <c r="W19" s="23">
        <v>8.6619440513368229</v>
      </c>
      <c r="Y19" s="16"/>
    </row>
    <row r="20" spans="1:25">
      <c r="A20" s="107">
        <v>85</v>
      </c>
      <c r="B20" s="108">
        <v>38.853709236145001</v>
      </c>
      <c r="C20" s="109">
        <v>153.9</v>
      </c>
      <c r="D20" s="109">
        <v>193.25530287289837</v>
      </c>
      <c r="E20" s="108">
        <v>45.739519204150078</v>
      </c>
      <c r="F20" s="109">
        <v>710.75685959041687</v>
      </c>
      <c r="G20" s="109">
        <v>153.9</v>
      </c>
      <c r="H20" s="109">
        <v>193.25530287289837</v>
      </c>
      <c r="I20" s="108">
        <v>45.739519204150078</v>
      </c>
      <c r="J20" s="109">
        <v>710.75685959041687</v>
      </c>
      <c r="K20" s="109" t="s">
        <v>27</v>
      </c>
      <c r="L20" s="109" t="s">
        <v>27</v>
      </c>
      <c r="M20" s="108" t="s">
        <v>27</v>
      </c>
      <c r="N20" s="109" t="s">
        <v>27</v>
      </c>
      <c r="O20" s="108" t="s">
        <v>27</v>
      </c>
      <c r="P20" s="110" t="s">
        <v>27</v>
      </c>
      <c r="Q20" s="110">
        <v>1.3532840936084263</v>
      </c>
      <c r="R20" s="108" t="s">
        <v>27</v>
      </c>
      <c r="S20" s="108">
        <v>17.281273547331981</v>
      </c>
      <c r="T20" s="111">
        <v>1468.9082515232185</v>
      </c>
      <c r="U20" s="109">
        <v>63.161282348493202</v>
      </c>
      <c r="V20" s="112" t="s">
        <v>27</v>
      </c>
      <c r="W20" s="113" t="s">
        <v>27</v>
      </c>
    </row>
    <row r="22" spans="1:25">
      <c r="A22" s="12" t="s">
        <v>32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 spans="1:25" ht="15" customHeight="1">
      <c r="A23" s="187" t="s">
        <v>1</v>
      </c>
      <c r="B23" s="187" t="s">
        <v>2</v>
      </c>
      <c r="C23" s="189" t="s">
        <v>33</v>
      </c>
      <c r="D23" s="190"/>
      <c r="E23" s="190"/>
      <c r="F23" s="190"/>
      <c r="G23" s="190"/>
      <c r="H23" s="190"/>
      <c r="I23" s="190"/>
      <c r="J23" s="191"/>
      <c r="K23" s="189" t="s">
        <v>105</v>
      </c>
      <c r="L23" s="191"/>
      <c r="M23" s="189" t="s">
        <v>34</v>
      </c>
      <c r="N23" s="190"/>
      <c r="O23" s="190"/>
      <c r="P23" s="190"/>
      <c r="Q23" s="190"/>
      <c r="R23" s="190"/>
      <c r="S23" s="190"/>
      <c r="T23" s="191"/>
      <c r="U23" s="189" t="s">
        <v>106</v>
      </c>
      <c r="V23" s="191"/>
      <c r="W23" s="193" t="s">
        <v>113</v>
      </c>
    </row>
    <row r="24" spans="1:25">
      <c r="A24" s="188"/>
      <c r="B24" s="188"/>
      <c r="C24" s="96" t="s">
        <v>19</v>
      </c>
      <c r="D24" s="96" t="s">
        <v>20</v>
      </c>
      <c r="E24" s="96" t="s">
        <v>21</v>
      </c>
      <c r="F24" s="96" t="s">
        <v>22</v>
      </c>
      <c r="G24" s="96" t="s">
        <v>23</v>
      </c>
      <c r="H24" s="96" t="s">
        <v>24</v>
      </c>
      <c r="I24" s="96" t="s">
        <v>25</v>
      </c>
      <c r="J24" s="96" t="s">
        <v>26</v>
      </c>
      <c r="K24" s="125" t="s">
        <v>105</v>
      </c>
      <c r="L24" s="125" t="s">
        <v>107</v>
      </c>
      <c r="M24" s="96" t="s">
        <v>19</v>
      </c>
      <c r="N24" s="96" t="s">
        <v>20</v>
      </c>
      <c r="O24" s="96" t="s">
        <v>21</v>
      </c>
      <c r="P24" s="96" t="s">
        <v>22</v>
      </c>
      <c r="Q24" s="96" t="s">
        <v>23</v>
      </c>
      <c r="R24" s="96" t="s">
        <v>24</v>
      </c>
      <c r="S24" s="96" t="s">
        <v>25</v>
      </c>
      <c r="T24" s="96" t="s">
        <v>26</v>
      </c>
      <c r="U24" s="138" t="s">
        <v>106</v>
      </c>
      <c r="V24" s="138" t="s">
        <v>107</v>
      </c>
      <c r="W24" s="194"/>
    </row>
    <row r="25" spans="1:25" s="95" customFormat="1" ht="12">
      <c r="A25" s="92" t="s">
        <v>65</v>
      </c>
      <c r="B25" s="92" t="s">
        <v>66</v>
      </c>
      <c r="C25" s="92" t="s">
        <v>70</v>
      </c>
      <c r="D25" s="92" t="s">
        <v>70</v>
      </c>
      <c r="E25" s="92" t="s">
        <v>70</v>
      </c>
      <c r="F25" s="92" t="s">
        <v>70</v>
      </c>
      <c r="G25" s="92" t="s">
        <v>70</v>
      </c>
      <c r="H25" s="92" t="s">
        <v>70</v>
      </c>
      <c r="I25" s="92" t="s">
        <v>70</v>
      </c>
      <c r="J25" s="92" t="s">
        <v>70</v>
      </c>
      <c r="K25" s="92" t="s">
        <v>75</v>
      </c>
      <c r="L25" s="92" t="s">
        <v>75</v>
      </c>
      <c r="M25" s="92" t="s">
        <v>70</v>
      </c>
      <c r="N25" s="92" t="s">
        <v>70</v>
      </c>
      <c r="O25" s="92" t="s">
        <v>70</v>
      </c>
      <c r="P25" s="92" t="s">
        <v>70</v>
      </c>
      <c r="Q25" s="92" t="s">
        <v>70</v>
      </c>
      <c r="R25" s="92" t="s">
        <v>70</v>
      </c>
      <c r="S25" s="92" t="s">
        <v>70</v>
      </c>
      <c r="T25" s="92" t="s">
        <v>70</v>
      </c>
      <c r="U25" s="92" t="s">
        <v>75</v>
      </c>
      <c r="V25" s="92" t="s">
        <v>75</v>
      </c>
      <c r="W25" s="92" t="s">
        <v>75</v>
      </c>
    </row>
    <row r="26" spans="1:25">
      <c r="A26" s="87">
        <v>19</v>
      </c>
      <c r="B26" s="23">
        <v>13.056189246177601</v>
      </c>
      <c r="C26" s="24">
        <v>49.198079096498418</v>
      </c>
      <c r="D26" s="24">
        <v>105.3625990378745</v>
      </c>
      <c r="E26" s="24">
        <v>13.091807887374111</v>
      </c>
      <c r="F26" s="24">
        <v>0</v>
      </c>
      <c r="G26" s="24">
        <v>0</v>
      </c>
      <c r="H26" s="24">
        <v>0</v>
      </c>
      <c r="I26" s="24">
        <v>0</v>
      </c>
      <c r="J26" s="24">
        <v>0</v>
      </c>
      <c r="K26" s="88">
        <v>4679.9452708340723</v>
      </c>
      <c r="L26" s="88">
        <v>3212.4583879416755</v>
      </c>
      <c r="M26" s="25">
        <v>21.871722404540957</v>
      </c>
      <c r="N26" s="25">
        <v>24.36324867344333</v>
      </c>
      <c r="O26" s="25">
        <v>2.8040012679386308</v>
      </c>
      <c r="P26" s="25">
        <v>0</v>
      </c>
      <c r="Q26" s="25">
        <v>0</v>
      </c>
      <c r="R26" s="25">
        <v>0</v>
      </c>
      <c r="S26" s="25">
        <v>0</v>
      </c>
      <c r="T26" s="25">
        <v>0</v>
      </c>
      <c r="U26" s="88">
        <v>802.85530198126685</v>
      </c>
      <c r="V26" s="88">
        <v>551.10457492454952</v>
      </c>
      <c r="W26" s="89">
        <v>3212.4583879416755</v>
      </c>
    </row>
    <row r="27" spans="1:25">
      <c r="A27" s="114">
        <v>25</v>
      </c>
      <c r="B27" s="103">
        <v>17.153701333999599</v>
      </c>
      <c r="C27" s="104">
        <v>8.8155636546861764</v>
      </c>
      <c r="D27" s="104">
        <v>116.13200685370671</v>
      </c>
      <c r="E27" s="104">
        <v>76.092731334458392</v>
      </c>
      <c r="F27" s="104">
        <v>54.666761634557879</v>
      </c>
      <c r="G27" s="104">
        <v>0</v>
      </c>
      <c r="H27" s="104">
        <v>0</v>
      </c>
      <c r="I27" s="104">
        <v>0</v>
      </c>
      <c r="J27" s="104">
        <v>0</v>
      </c>
      <c r="K27" s="115">
        <v>9900.8655033104478</v>
      </c>
      <c r="L27" s="115">
        <v>6034.8831692162266</v>
      </c>
      <c r="M27" s="116">
        <v>7.3023167590977289</v>
      </c>
      <c r="N27" s="116">
        <v>35.287092606901062</v>
      </c>
      <c r="O27" s="116">
        <v>8.4755331593251455</v>
      </c>
      <c r="P27" s="116">
        <v>6.4141509535854855</v>
      </c>
      <c r="Q27" s="116">
        <v>0</v>
      </c>
      <c r="R27" s="116">
        <v>0</v>
      </c>
      <c r="S27" s="116">
        <v>0</v>
      </c>
      <c r="T27" s="116">
        <v>0</v>
      </c>
      <c r="U27" s="115">
        <v>1463.3324292568723</v>
      </c>
      <c r="V27" s="115">
        <v>891.94628947720309</v>
      </c>
      <c r="W27" s="106">
        <v>6585.9877441407762</v>
      </c>
    </row>
    <row r="28" spans="1:25">
      <c r="A28" s="87">
        <v>31</v>
      </c>
      <c r="B28" s="23">
        <v>20.855306255340501</v>
      </c>
      <c r="C28" s="24">
        <v>0.2455569200400802</v>
      </c>
      <c r="D28" s="24">
        <v>35.244970169357046</v>
      </c>
      <c r="E28" s="24">
        <v>81.248367107928757</v>
      </c>
      <c r="F28" s="24">
        <v>182.85030905300098</v>
      </c>
      <c r="G28" s="24">
        <v>40.147199413267884</v>
      </c>
      <c r="H28" s="24">
        <v>0</v>
      </c>
      <c r="I28" s="24">
        <v>0</v>
      </c>
      <c r="J28" s="24">
        <v>0</v>
      </c>
      <c r="K28" s="88">
        <v>16555.419268456939</v>
      </c>
      <c r="L28" s="88">
        <v>8960.553953894303</v>
      </c>
      <c r="M28" s="25">
        <v>0.2455569200400802</v>
      </c>
      <c r="N28" s="25">
        <v>22.226703151378299</v>
      </c>
      <c r="O28" s="25">
        <v>22.644636952295141</v>
      </c>
      <c r="P28" s="25">
        <v>17.455418559639885</v>
      </c>
      <c r="Q28" s="25">
        <v>4.7181926161017236</v>
      </c>
      <c r="R28" s="25">
        <v>0</v>
      </c>
      <c r="S28" s="25">
        <v>0</v>
      </c>
      <c r="T28" s="25">
        <v>0</v>
      </c>
      <c r="U28" s="88">
        <v>2483.1433527200529</v>
      </c>
      <c r="V28" s="88">
        <v>1343.9913315693325</v>
      </c>
      <c r="W28" s="89">
        <v>10403.604818296055</v>
      </c>
    </row>
    <row r="29" spans="1:25">
      <c r="A29" s="114">
        <v>37</v>
      </c>
      <c r="B29" s="103">
        <v>24.0996787242889</v>
      </c>
      <c r="C29" s="104">
        <v>0</v>
      </c>
      <c r="D29" s="104">
        <v>2.0384285365952937</v>
      </c>
      <c r="E29" s="104">
        <v>20.312744590014979</v>
      </c>
      <c r="F29" s="104">
        <v>198.60739926599931</v>
      </c>
      <c r="G29" s="104">
        <v>190.01518261702046</v>
      </c>
      <c r="H29" s="104">
        <v>0</v>
      </c>
      <c r="I29" s="104">
        <v>0</v>
      </c>
      <c r="J29" s="104">
        <v>0</v>
      </c>
      <c r="K29" s="115">
        <v>23440.679680998586</v>
      </c>
      <c r="L29" s="115">
        <v>11265.846901585446</v>
      </c>
      <c r="M29" s="116">
        <v>0</v>
      </c>
      <c r="N29" s="116">
        <v>2.0384285365952937</v>
      </c>
      <c r="O29" s="116">
        <v>13.849664152519308</v>
      </c>
      <c r="P29" s="116">
        <v>39.596637261277408</v>
      </c>
      <c r="Q29" s="116">
        <v>14.745792674022525</v>
      </c>
      <c r="R29" s="116">
        <v>0</v>
      </c>
      <c r="S29" s="116">
        <v>0</v>
      </c>
      <c r="T29" s="116">
        <v>0</v>
      </c>
      <c r="U29" s="115">
        <v>3247.6339212809658</v>
      </c>
      <c r="V29" s="115">
        <v>1560.8483647854839</v>
      </c>
      <c r="W29" s="106">
        <v>14052.889097556532</v>
      </c>
    </row>
    <row r="30" spans="1:25">
      <c r="A30" s="87">
        <v>43</v>
      </c>
      <c r="B30" s="23">
        <v>26.916973001480098</v>
      </c>
      <c r="C30" s="24">
        <v>0</v>
      </c>
      <c r="D30" s="24">
        <v>0</v>
      </c>
      <c r="E30" s="24">
        <v>0</v>
      </c>
      <c r="F30" s="24">
        <v>67.049368283590695</v>
      </c>
      <c r="G30" s="24">
        <v>366.52932810667005</v>
      </c>
      <c r="H30" s="24">
        <v>40.205405783980027</v>
      </c>
      <c r="I30" s="24">
        <v>0</v>
      </c>
      <c r="J30" s="24">
        <v>0</v>
      </c>
      <c r="K30" s="88">
        <v>30210.945618442762</v>
      </c>
      <c r="L30" s="88">
        <v>12893.087598543492</v>
      </c>
      <c r="M30" s="25">
        <v>0</v>
      </c>
      <c r="N30" s="25">
        <v>0</v>
      </c>
      <c r="O30" s="25">
        <v>0</v>
      </c>
      <c r="P30" s="25">
        <v>39.087253380118817</v>
      </c>
      <c r="Q30" s="25">
        <v>38.990082555188245</v>
      </c>
      <c r="R30" s="25">
        <v>2.2592164133484336</v>
      </c>
      <c r="S30" s="25">
        <v>0</v>
      </c>
      <c r="T30" s="25">
        <v>0</v>
      </c>
      <c r="U30" s="88">
        <v>4346.7934900942764</v>
      </c>
      <c r="V30" s="88">
        <v>1855.0756387562851</v>
      </c>
      <c r="W30" s="89">
        <v>17240.978159300063</v>
      </c>
    </row>
    <row r="31" spans="1:25">
      <c r="A31" s="114">
        <v>49</v>
      </c>
      <c r="B31" s="103">
        <v>29.362166376113802</v>
      </c>
      <c r="C31" s="104">
        <v>0</v>
      </c>
      <c r="D31" s="104">
        <v>0</v>
      </c>
      <c r="E31" s="104">
        <v>0</v>
      </c>
      <c r="F31" s="104">
        <v>2.7274118356256305</v>
      </c>
      <c r="G31" s="104">
        <v>324.66594082044901</v>
      </c>
      <c r="H31" s="104">
        <v>190.97124749206205</v>
      </c>
      <c r="I31" s="104">
        <v>0</v>
      </c>
      <c r="J31" s="104">
        <v>0</v>
      </c>
      <c r="K31" s="115">
        <v>35863.726708188595</v>
      </c>
      <c r="L31" s="115">
        <v>13590.861917654936</v>
      </c>
      <c r="M31" s="116">
        <v>0</v>
      </c>
      <c r="N31" s="116">
        <v>0</v>
      </c>
      <c r="O31" s="116">
        <v>0</v>
      </c>
      <c r="P31" s="116">
        <v>2.657244565633174</v>
      </c>
      <c r="Q31" s="116">
        <v>64.485206616605709</v>
      </c>
      <c r="R31" s="116">
        <v>10.802210510637066</v>
      </c>
      <c r="S31" s="116">
        <v>0</v>
      </c>
      <c r="T31" s="116">
        <v>0</v>
      </c>
      <c r="U31" s="115">
        <v>4758.0318083598313</v>
      </c>
      <c r="V31" s="115">
        <v>1803.0963104697</v>
      </c>
      <c r="W31" s="106">
        <v>19793.828117167792</v>
      </c>
    </row>
    <row r="32" spans="1:25">
      <c r="A32" s="87">
        <v>55</v>
      </c>
      <c r="B32" s="23">
        <v>31.4738546714782</v>
      </c>
      <c r="C32" s="24">
        <v>0</v>
      </c>
      <c r="D32" s="24">
        <v>0</v>
      </c>
      <c r="E32" s="24">
        <v>0</v>
      </c>
      <c r="F32" s="24">
        <v>0</v>
      </c>
      <c r="G32" s="24">
        <v>129.17163877777793</v>
      </c>
      <c r="H32" s="24">
        <v>413.16658233291531</v>
      </c>
      <c r="I32" s="24">
        <v>15.477285784274237</v>
      </c>
      <c r="J32" s="24">
        <v>0</v>
      </c>
      <c r="K32" s="88">
        <v>40779.21714734011</v>
      </c>
      <c r="L32" s="88">
        <v>13722.379863534581</v>
      </c>
      <c r="M32" s="25">
        <v>0</v>
      </c>
      <c r="N32" s="25">
        <v>0</v>
      </c>
      <c r="O32" s="25">
        <v>0</v>
      </c>
      <c r="P32" s="25">
        <v>0</v>
      </c>
      <c r="Q32" s="25">
        <v>49.693430503037717</v>
      </c>
      <c r="R32" s="25">
        <v>24.669842630736472</v>
      </c>
      <c r="S32" s="25">
        <v>0.68230789462093722</v>
      </c>
      <c r="T32" s="25">
        <v>0</v>
      </c>
      <c r="U32" s="88">
        <v>4935.0232876155405</v>
      </c>
      <c r="V32" s="88">
        <v>1660.6563079268647</v>
      </c>
      <c r="W32" s="89">
        <v>21728.442373517137</v>
      </c>
    </row>
    <row r="33" spans="1:25">
      <c r="A33" s="114">
        <v>61</v>
      </c>
      <c r="B33" s="103">
        <v>33.316066276550202</v>
      </c>
      <c r="C33" s="104">
        <v>0</v>
      </c>
      <c r="D33" s="104">
        <v>0</v>
      </c>
      <c r="E33" s="104">
        <v>0</v>
      </c>
      <c r="F33" s="104">
        <v>0</v>
      </c>
      <c r="G33" s="104">
        <v>6.634766510497113</v>
      </c>
      <c r="H33" s="104">
        <v>434.02860491433177</v>
      </c>
      <c r="I33" s="104">
        <v>152.82638035137219</v>
      </c>
      <c r="J33" s="104">
        <v>0</v>
      </c>
      <c r="K33" s="115">
        <v>44942.967117966073</v>
      </c>
      <c r="L33" s="115">
        <v>13429.234685891344</v>
      </c>
      <c r="M33" s="116">
        <v>0</v>
      </c>
      <c r="N33" s="116">
        <v>0</v>
      </c>
      <c r="O33" s="116">
        <v>0</v>
      </c>
      <c r="P33" s="116">
        <v>0</v>
      </c>
      <c r="Q33" s="116">
        <v>5.0306981765010184</v>
      </c>
      <c r="R33" s="116">
        <v>60.932397007479253</v>
      </c>
      <c r="S33" s="116">
        <v>6.5106033444022078</v>
      </c>
      <c r="T33" s="116">
        <v>0</v>
      </c>
      <c r="U33" s="115">
        <v>4991.5317757700313</v>
      </c>
      <c r="V33" s="115">
        <v>1491.5003605114298</v>
      </c>
      <c r="W33" s="106">
        <v>23095.953503800763</v>
      </c>
    </row>
    <row r="34" spans="1:25">
      <c r="A34" s="87">
        <v>67</v>
      </c>
      <c r="B34" s="23">
        <v>34.937710128784097</v>
      </c>
      <c r="C34" s="24">
        <v>0</v>
      </c>
      <c r="D34" s="24">
        <v>0</v>
      </c>
      <c r="E34" s="24">
        <v>0</v>
      </c>
      <c r="F34" s="24">
        <v>0</v>
      </c>
      <c r="G34" s="24">
        <v>0</v>
      </c>
      <c r="H34" s="24">
        <v>251.11926577074013</v>
      </c>
      <c r="I34" s="24">
        <v>375.12142096354023</v>
      </c>
      <c r="J34" s="24">
        <v>0</v>
      </c>
      <c r="K34" s="88">
        <v>48329.791570713191</v>
      </c>
      <c r="L34" s="88">
        <v>12823.406635307532</v>
      </c>
      <c r="M34" s="25">
        <v>0</v>
      </c>
      <c r="N34" s="25">
        <v>0</v>
      </c>
      <c r="O34" s="25">
        <v>0</v>
      </c>
      <c r="P34" s="25">
        <v>0</v>
      </c>
      <c r="Q34" s="25">
        <v>0</v>
      </c>
      <c r="R34" s="25">
        <v>54.540471890625724</v>
      </c>
      <c r="S34" s="25">
        <v>15.613470317280592</v>
      </c>
      <c r="T34" s="25">
        <v>0</v>
      </c>
      <c r="U34" s="88">
        <v>4944.2485148731239</v>
      </c>
      <c r="V34" s="88">
        <v>1311.8639073679294</v>
      </c>
      <c r="W34" s="89">
        <v>23981.62581372838</v>
      </c>
    </row>
    <row r="35" spans="1:25">
      <c r="A35" s="114">
        <v>73</v>
      </c>
      <c r="B35" s="103">
        <v>36.376443725585901</v>
      </c>
      <c r="C35" s="104">
        <v>0</v>
      </c>
      <c r="D35" s="104">
        <v>0</v>
      </c>
      <c r="E35" s="104">
        <v>0</v>
      </c>
      <c r="F35" s="104">
        <v>0</v>
      </c>
      <c r="G35" s="104">
        <v>0</v>
      </c>
      <c r="H35" s="104">
        <v>31.519207103791686</v>
      </c>
      <c r="I35" s="104">
        <v>540.6533115317751</v>
      </c>
      <c r="J35" s="104">
        <v>84.279555006629522</v>
      </c>
      <c r="K35" s="115">
        <v>50927.692968998192</v>
      </c>
      <c r="L35" s="115">
        <v>11998.900842969455</v>
      </c>
      <c r="M35" s="116">
        <v>0</v>
      </c>
      <c r="N35" s="116">
        <v>0</v>
      </c>
      <c r="O35" s="116">
        <v>0</v>
      </c>
      <c r="P35" s="116">
        <v>0</v>
      </c>
      <c r="Q35" s="116">
        <v>0</v>
      </c>
      <c r="R35" s="116">
        <v>18.848224448582769</v>
      </c>
      <c r="S35" s="116">
        <v>48.648974783216765</v>
      </c>
      <c r="T35" s="116">
        <v>0.76695509048493626</v>
      </c>
      <c r="U35" s="115">
        <v>4842.5592937313259</v>
      </c>
      <c r="V35" s="115">
        <v>1140.9389549032496</v>
      </c>
      <c r="W35" s="106">
        <v>24468.983928758233</v>
      </c>
    </row>
    <row r="36" spans="1:25">
      <c r="A36" s="87">
        <v>79</v>
      </c>
      <c r="B36" s="23">
        <v>37.677279090881299</v>
      </c>
      <c r="C36" s="24">
        <v>0</v>
      </c>
      <c r="D36" s="24">
        <v>0</v>
      </c>
      <c r="E36" s="24">
        <v>0</v>
      </c>
      <c r="F36" s="24">
        <v>0</v>
      </c>
      <c r="G36" s="24">
        <v>0</v>
      </c>
      <c r="H36" s="24">
        <v>0</v>
      </c>
      <c r="I36" s="24">
        <v>394.83108278128714</v>
      </c>
      <c r="J36" s="24">
        <v>289.40249843118477</v>
      </c>
      <c r="K36" s="88">
        <v>52716.643083529016</v>
      </c>
      <c r="L36" s="88">
        <v>11028.950259375681</v>
      </c>
      <c r="M36" s="25">
        <v>0</v>
      </c>
      <c r="N36" s="25">
        <v>0</v>
      </c>
      <c r="O36" s="25">
        <v>0</v>
      </c>
      <c r="P36" s="25">
        <v>0</v>
      </c>
      <c r="Q36" s="25">
        <v>0</v>
      </c>
      <c r="R36" s="25">
        <v>0</v>
      </c>
      <c r="S36" s="25">
        <v>55.789413178795201</v>
      </c>
      <c r="T36" s="25">
        <v>10.581629089499387</v>
      </c>
      <c r="U36" s="88">
        <v>4653.5403375701262</v>
      </c>
      <c r="V36" s="88">
        <v>973.5761215246082</v>
      </c>
      <c r="W36" s="89">
        <v>24639.972300067708</v>
      </c>
    </row>
    <row r="37" spans="1:25">
      <c r="A37" s="114">
        <v>85</v>
      </c>
      <c r="B37" s="108">
        <v>38.853709236145001</v>
      </c>
      <c r="C37" s="109">
        <v>0</v>
      </c>
      <c r="D37" s="109">
        <v>0</v>
      </c>
      <c r="E37" s="109">
        <v>0</v>
      </c>
      <c r="F37" s="109">
        <v>0</v>
      </c>
      <c r="G37" s="109">
        <v>0</v>
      </c>
      <c r="H37" s="109">
        <v>0</v>
      </c>
      <c r="I37" s="109">
        <v>138.50154316953811</v>
      </c>
      <c r="J37" s="109">
        <v>572.25531642087867</v>
      </c>
      <c r="K37" s="117">
        <v>53806.214386136162</v>
      </c>
      <c r="L37" s="117">
        <v>9995.8064431793537</v>
      </c>
      <c r="M37" s="118">
        <v>0</v>
      </c>
      <c r="N37" s="118">
        <v>0</v>
      </c>
      <c r="O37" s="118">
        <v>0</v>
      </c>
      <c r="P37" s="118">
        <v>0</v>
      </c>
      <c r="Q37" s="118">
        <v>0</v>
      </c>
      <c r="R37" s="118">
        <v>0</v>
      </c>
      <c r="S37" s="118">
        <v>138.50154316953811</v>
      </c>
      <c r="T37" s="118">
        <v>572.25531642087867</v>
      </c>
      <c r="U37" s="117">
        <v>53806.214386136162</v>
      </c>
      <c r="V37" s="117">
        <v>9995.8064431793537</v>
      </c>
      <c r="W37" s="111">
        <v>24580.40460539599</v>
      </c>
    </row>
    <row r="38" spans="1:25" s="10" customFormat="1">
      <c r="A38" s="26" t="s">
        <v>13</v>
      </c>
      <c r="B38" s="27" t="s">
        <v>27</v>
      </c>
      <c r="C38" s="27" t="s">
        <v>27</v>
      </c>
      <c r="D38" s="27" t="s">
        <v>27</v>
      </c>
      <c r="E38" s="27" t="s">
        <v>27</v>
      </c>
      <c r="F38" s="27" t="s">
        <v>27</v>
      </c>
      <c r="G38" s="27" t="s">
        <v>27</v>
      </c>
      <c r="H38" s="27" t="s">
        <v>27</v>
      </c>
      <c r="I38" s="27" t="s">
        <v>27</v>
      </c>
      <c r="J38" s="27" t="s">
        <v>27</v>
      </c>
      <c r="K38" s="27" t="s">
        <v>27</v>
      </c>
      <c r="L38" s="27" t="s">
        <v>27</v>
      </c>
      <c r="M38" s="26">
        <v>29.419596083678766</v>
      </c>
      <c r="N38" s="26">
        <v>83.915472968317985</v>
      </c>
      <c r="O38" s="26">
        <v>47.773835532078223</v>
      </c>
      <c r="P38" s="26">
        <v>105.21070472025478</v>
      </c>
      <c r="Q38" s="26">
        <v>177.66340314145691</v>
      </c>
      <c r="R38" s="26">
        <v>172.05236290140971</v>
      </c>
      <c r="S38" s="26">
        <v>265.74631268785379</v>
      </c>
      <c r="T38" s="26">
        <v>583.60390060086297</v>
      </c>
      <c r="U38" s="27" t="s">
        <v>27</v>
      </c>
      <c r="V38" s="90">
        <v>24580.40460539599</v>
      </c>
      <c r="W38" s="28" t="s">
        <v>27</v>
      </c>
    </row>
    <row r="39" spans="1:25">
      <c r="A39" s="17"/>
      <c r="V39" s="9"/>
    </row>
    <row r="40" spans="1:25">
      <c r="H40" s="15"/>
      <c r="I40" s="15"/>
      <c r="J40" s="15"/>
      <c r="W40" s="15" t="s">
        <v>77</v>
      </c>
    </row>
    <row r="41" spans="1:25">
      <c r="V41" s="9"/>
      <c r="W41" s="15" t="s">
        <v>78</v>
      </c>
      <c r="X41" s="9"/>
      <c r="Y41" s="9"/>
    </row>
    <row r="42" spans="1:25">
      <c r="A42" s="8"/>
      <c r="B42" s="8"/>
      <c r="C42" s="8"/>
      <c r="D42" s="8"/>
      <c r="E42" s="8"/>
      <c r="F42" s="8"/>
      <c r="G42" s="8"/>
      <c r="H42" s="8"/>
      <c r="I42" s="8"/>
      <c r="J42" s="8"/>
      <c r="V42" s="9"/>
      <c r="W42" s="15"/>
      <c r="X42" s="9"/>
      <c r="Y42" s="15"/>
    </row>
    <row r="43" spans="1:25">
      <c r="V43" s="9"/>
      <c r="W43" s="9"/>
      <c r="X43" s="9"/>
      <c r="Y43" s="9"/>
    </row>
    <row r="44" spans="1:25"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spans="1:25">
      <c r="V45" s="9"/>
      <c r="W45" s="9"/>
      <c r="X45" s="9"/>
      <c r="Y45" s="9"/>
    </row>
    <row r="46" spans="1:25">
      <c r="V46" s="9"/>
      <c r="W46" s="9"/>
      <c r="X46" s="9"/>
      <c r="Y46" s="9"/>
    </row>
  </sheetData>
  <mergeCells count="17">
    <mergeCell ref="B23:B24"/>
    <mergeCell ref="D1:T1"/>
    <mergeCell ref="A23:A24"/>
    <mergeCell ref="C23:J23"/>
    <mergeCell ref="A6:A7"/>
    <mergeCell ref="B6:B7"/>
    <mergeCell ref="C6:F6"/>
    <mergeCell ref="G6:J6"/>
    <mergeCell ref="K6:N6"/>
    <mergeCell ref="K23:L23"/>
    <mergeCell ref="W23:W24"/>
    <mergeCell ref="V6:V7"/>
    <mergeCell ref="W6:W7"/>
    <mergeCell ref="U6:U7"/>
    <mergeCell ref="M23:T23"/>
    <mergeCell ref="O6:T6"/>
    <mergeCell ref="U23:V23"/>
  </mergeCells>
  <pageMargins left="0.70866141732283472" right="0.70866141732283472" top="0.74803149606299213" bottom="0.74803149606299213" header="0.31496062992125984" footer="0.31496062992125984"/>
  <pageSetup paperSize="9" scale="7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46"/>
  <sheetViews>
    <sheetView workbookViewId="0">
      <selection activeCell="W23" sqref="W23:W24"/>
    </sheetView>
  </sheetViews>
  <sheetFormatPr baseColWidth="10" defaultRowHeight="15"/>
  <cols>
    <col min="1" max="21" width="6.7109375" style="9" customWidth="1"/>
    <col min="22" max="23" width="6.7109375" style="17" customWidth="1"/>
    <col min="24" max="16384" width="11.42578125" style="17"/>
  </cols>
  <sheetData>
    <row r="1" spans="1:27" ht="30.75" customHeight="1">
      <c r="D1" s="151" t="s">
        <v>61</v>
      </c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</row>
    <row r="2" spans="1:27">
      <c r="A2" s="12"/>
      <c r="B2" s="14"/>
      <c r="C2" s="13"/>
      <c r="D2" s="13"/>
      <c r="E2" s="13"/>
      <c r="F2" s="13"/>
      <c r="G2" s="13"/>
      <c r="H2" s="13"/>
      <c r="I2" s="13"/>
      <c r="J2" s="13"/>
      <c r="K2" s="14"/>
      <c r="L2" s="13"/>
      <c r="M2" s="13"/>
      <c r="U2" s="15"/>
      <c r="V2" s="15"/>
      <c r="W2" s="15"/>
    </row>
    <row r="3" spans="1:27">
      <c r="A3" s="12" t="s">
        <v>85</v>
      </c>
      <c r="B3" s="12"/>
      <c r="C3" s="12"/>
      <c r="D3" s="14"/>
      <c r="E3" s="14" t="s">
        <v>80</v>
      </c>
      <c r="F3" s="14"/>
      <c r="G3" s="13"/>
      <c r="H3" s="13"/>
      <c r="I3" s="14"/>
      <c r="J3" s="13"/>
      <c r="K3" s="14" t="s">
        <v>86</v>
      </c>
      <c r="L3" s="14"/>
      <c r="M3" s="14"/>
      <c r="N3" s="13"/>
      <c r="R3" s="14" t="s">
        <v>83</v>
      </c>
      <c r="V3" s="9"/>
      <c r="W3" s="9"/>
    </row>
    <row r="4" spans="1:27">
      <c r="A4" s="13"/>
      <c r="B4" s="14"/>
      <c r="C4" s="13"/>
      <c r="D4" s="14"/>
      <c r="E4" s="14" t="s">
        <v>30</v>
      </c>
      <c r="F4" s="14"/>
      <c r="G4" s="13"/>
      <c r="H4" s="13"/>
      <c r="I4" s="14"/>
      <c r="J4" s="13"/>
      <c r="K4" s="14" t="s">
        <v>35</v>
      </c>
      <c r="L4" s="13"/>
      <c r="M4" s="13"/>
      <c r="N4" s="13"/>
      <c r="O4" s="8"/>
      <c r="P4" s="8"/>
      <c r="Q4" s="8"/>
      <c r="R4" s="14" t="s">
        <v>84</v>
      </c>
      <c r="S4" s="8"/>
      <c r="T4" s="8"/>
      <c r="U4" s="8"/>
      <c r="V4" s="8"/>
      <c r="W4" s="13"/>
    </row>
    <row r="5" spans="1:27">
      <c r="A5" s="12" t="s">
        <v>0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7">
      <c r="A6" s="185" t="s">
        <v>1</v>
      </c>
      <c r="B6" s="185" t="s">
        <v>2</v>
      </c>
      <c r="C6" s="198" t="s">
        <v>109</v>
      </c>
      <c r="D6" s="199"/>
      <c r="E6" s="199"/>
      <c r="F6" s="199"/>
      <c r="G6" s="199" t="s">
        <v>110</v>
      </c>
      <c r="H6" s="199"/>
      <c r="I6" s="199"/>
      <c r="J6" s="199"/>
      <c r="K6" s="199" t="s">
        <v>111</v>
      </c>
      <c r="L6" s="199"/>
      <c r="M6" s="199"/>
      <c r="N6" s="199"/>
      <c r="O6" s="195" t="s">
        <v>3</v>
      </c>
      <c r="P6" s="196"/>
      <c r="Q6" s="196"/>
      <c r="R6" s="196"/>
      <c r="S6" s="196"/>
      <c r="T6" s="197"/>
      <c r="U6" s="187" t="s">
        <v>14</v>
      </c>
      <c r="V6" s="193" t="s">
        <v>64</v>
      </c>
      <c r="W6" s="187" t="s">
        <v>31</v>
      </c>
    </row>
    <row r="7" spans="1:27">
      <c r="A7" s="186"/>
      <c r="B7" s="186"/>
      <c r="C7" s="101" t="s">
        <v>4</v>
      </c>
      <c r="D7" s="101" t="s">
        <v>5</v>
      </c>
      <c r="E7" s="101" t="s">
        <v>6</v>
      </c>
      <c r="F7" s="101" t="s">
        <v>7</v>
      </c>
      <c r="G7" s="101" t="s">
        <v>4</v>
      </c>
      <c r="H7" s="101" t="s">
        <v>5</v>
      </c>
      <c r="I7" s="101" t="s">
        <v>6</v>
      </c>
      <c r="J7" s="101" t="s">
        <v>7</v>
      </c>
      <c r="K7" s="101" t="s">
        <v>4</v>
      </c>
      <c r="L7" s="101" t="s">
        <v>5</v>
      </c>
      <c r="M7" s="101" t="s">
        <v>6</v>
      </c>
      <c r="N7" s="101" t="s">
        <v>7</v>
      </c>
      <c r="O7" s="99" t="s">
        <v>15</v>
      </c>
      <c r="P7" s="101" t="s">
        <v>8</v>
      </c>
      <c r="Q7" s="101" t="s">
        <v>9</v>
      </c>
      <c r="R7" s="101" t="s">
        <v>10</v>
      </c>
      <c r="S7" s="101" t="s">
        <v>11</v>
      </c>
      <c r="T7" s="101" t="s">
        <v>12</v>
      </c>
      <c r="U7" s="192"/>
      <c r="V7" s="194"/>
      <c r="W7" s="188"/>
    </row>
    <row r="8" spans="1:27" s="95" customFormat="1" ht="12" customHeight="1">
      <c r="A8" s="92" t="s">
        <v>65</v>
      </c>
      <c r="B8" s="92" t="s">
        <v>66</v>
      </c>
      <c r="C8" s="92" t="s">
        <v>67</v>
      </c>
      <c r="D8" s="92" t="s">
        <v>68</v>
      </c>
      <c r="E8" s="92" t="s">
        <v>69</v>
      </c>
      <c r="F8" s="92" t="s">
        <v>70</v>
      </c>
      <c r="G8" s="92" t="s">
        <v>67</v>
      </c>
      <c r="H8" s="92" t="s">
        <v>68</v>
      </c>
      <c r="I8" s="92" t="s">
        <v>69</v>
      </c>
      <c r="J8" s="92" t="s">
        <v>70</v>
      </c>
      <c r="K8" s="92" t="s">
        <v>67</v>
      </c>
      <c r="L8" s="92" t="s">
        <v>68</v>
      </c>
      <c r="M8" s="92" t="s">
        <v>69</v>
      </c>
      <c r="N8" s="92" t="s">
        <v>70</v>
      </c>
      <c r="O8" s="92" t="s">
        <v>71</v>
      </c>
      <c r="P8" s="92" t="s">
        <v>72</v>
      </c>
      <c r="Q8" s="92" t="s">
        <v>72</v>
      </c>
      <c r="R8" s="92" t="s">
        <v>73</v>
      </c>
      <c r="S8" s="92" t="s">
        <v>73</v>
      </c>
      <c r="T8" s="92" t="s">
        <v>70</v>
      </c>
      <c r="U8" s="93"/>
      <c r="V8" s="94" t="s">
        <v>74</v>
      </c>
      <c r="W8" s="92" t="s">
        <v>66</v>
      </c>
    </row>
    <row r="9" spans="1:27">
      <c r="A9" s="22">
        <v>22</v>
      </c>
      <c r="B9" s="19">
        <v>13.4858048725128</v>
      </c>
      <c r="C9" s="18">
        <v>2128</v>
      </c>
      <c r="D9" s="18">
        <v>42.880102672206434</v>
      </c>
      <c r="E9" s="19">
        <v>31.136758103806496</v>
      </c>
      <c r="F9" s="18">
        <v>183.47440488473939</v>
      </c>
      <c r="G9" s="18">
        <v>845.86000000000013</v>
      </c>
      <c r="H9" s="18">
        <v>38.304185324428516</v>
      </c>
      <c r="I9" s="19">
        <v>9.8760000600768869</v>
      </c>
      <c r="J9" s="18">
        <v>54.564457749168298</v>
      </c>
      <c r="K9" s="18">
        <v>1282.1399999999999</v>
      </c>
      <c r="L9" s="18">
        <v>45.648507203720499</v>
      </c>
      <c r="M9" s="19">
        <v>21.260758043729609</v>
      </c>
      <c r="N9" s="18">
        <v>128.90994713557109</v>
      </c>
      <c r="O9" s="19">
        <v>1.8276047483862452</v>
      </c>
      <c r="P9" s="20">
        <v>1.8885224225365356</v>
      </c>
      <c r="Q9" s="20">
        <v>1.4153071865366589</v>
      </c>
      <c r="R9" s="19">
        <v>20.108988688005301</v>
      </c>
      <c r="S9" s="19">
        <v>8.3397456765790636</v>
      </c>
      <c r="T9" s="91">
        <v>183.47440488473939</v>
      </c>
      <c r="U9" s="18">
        <v>92.811152238026764</v>
      </c>
      <c r="V9" s="19">
        <v>39.749060150375946</v>
      </c>
      <c r="W9" s="23">
        <v>3.0010066613258717</v>
      </c>
      <c r="Y9" s="16"/>
      <c r="Z9" s="16"/>
      <c r="AA9" s="16"/>
    </row>
    <row r="10" spans="1:27">
      <c r="A10" s="102">
        <v>28</v>
      </c>
      <c r="B10" s="103">
        <v>16.993347082138001</v>
      </c>
      <c r="C10" s="104">
        <v>1277.82</v>
      </c>
      <c r="D10" s="104">
        <v>56.614135694037969</v>
      </c>
      <c r="E10" s="103">
        <v>32.591892578948823</v>
      </c>
      <c r="F10" s="104">
        <v>249.5638792636029</v>
      </c>
      <c r="G10" s="104">
        <v>411.4799999999999</v>
      </c>
      <c r="H10" s="104">
        <v>47.804326054863289</v>
      </c>
      <c r="I10" s="103">
        <v>7.4829572984066424</v>
      </c>
      <c r="J10" s="104">
        <v>53.704402029798302</v>
      </c>
      <c r="K10" s="104">
        <v>866.34</v>
      </c>
      <c r="L10" s="104">
        <v>60.349669666401439</v>
      </c>
      <c r="M10" s="103">
        <v>25.10893528054218</v>
      </c>
      <c r="N10" s="104">
        <v>195.8594772338046</v>
      </c>
      <c r="O10" s="103">
        <v>1.8310488552436486</v>
      </c>
      <c r="P10" s="105">
        <v>1.6441054231267203</v>
      </c>
      <c r="Q10" s="105">
        <v>1.5167104513937752</v>
      </c>
      <c r="R10" s="103">
        <v>20.381447747233349</v>
      </c>
      <c r="S10" s="103">
        <v>10.861726321884687</v>
      </c>
      <c r="T10" s="106">
        <v>304.12833701277123</v>
      </c>
      <c r="U10" s="104">
        <v>88.461419338750844</v>
      </c>
      <c r="V10" s="103">
        <v>32.201718551908712</v>
      </c>
      <c r="W10" s="103">
        <v>3.6508206702852233</v>
      </c>
    </row>
    <row r="11" spans="1:27">
      <c r="A11" s="100">
        <v>34</v>
      </c>
      <c r="B11" s="23">
        <v>20.147311950683498</v>
      </c>
      <c r="C11" s="24">
        <v>863.64</v>
      </c>
      <c r="D11" s="24">
        <v>71.335962797863331</v>
      </c>
      <c r="E11" s="23">
        <v>34.973567819302502</v>
      </c>
      <c r="F11" s="24">
        <v>318.14816371720468</v>
      </c>
      <c r="G11" s="24">
        <v>211.8599999999999</v>
      </c>
      <c r="H11" s="24">
        <v>61.379889584632288</v>
      </c>
      <c r="I11" s="23">
        <v>6.3517194821468692</v>
      </c>
      <c r="J11" s="24">
        <v>55.86175109793237</v>
      </c>
      <c r="K11" s="24">
        <v>651.78000000000009</v>
      </c>
      <c r="L11" s="24">
        <v>74.285363891428602</v>
      </c>
      <c r="M11" s="23">
        <v>28.621848337155633</v>
      </c>
      <c r="N11" s="24">
        <v>262.28641261927231</v>
      </c>
      <c r="O11" s="23">
        <v>1.7867899585175213</v>
      </c>
      <c r="P11" s="21">
        <v>1.4589898321934396</v>
      </c>
      <c r="Q11" s="21">
        <v>1.5391919169937067</v>
      </c>
      <c r="R11" s="23">
        <v>20.028588983616157</v>
      </c>
      <c r="S11" s="23">
        <v>12.541677161652096</v>
      </c>
      <c r="T11" s="89">
        <v>426.41702349617128</v>
      </c>
      <c r="U11" s="24">
        <v>85.204734685498877</v>
      </c>
      <c r="V11" s="23">
        <v>24.531054606085856</v>
      </c>
      <c r="W11" s="23">
        <v>4.2090508175661849</v>
      </c>
    </row>
    <row r="12" spans="1:27">
      <c r="A12" s="102">
        <v>40</v>
      </c>
      <c r="B12" s="103">
        <v>22.9157724170684</v>
      </c>
      <c r="C12" s="104">
        <v>649.98</v>
      </c>
      <c r="D12" s="104">
        <v>85.006103642533731</v>
      </c>
      <c r="E12" s="103">
        <v>37.375787330316271</v>
      </c>
      <c r="F12" s="104">
        <v>382.45794652096924</v>
      </c>
      <c r="G12" s="104">
        <v>133.47000000000003</v>
      </c>
      <c r="H12" s="104">
        <v>74.693380565221318</v>
      </c>
      <c r="I12" s="103">
        <v>5.9256777211469078</v>
      </c>
      <c r="J12" s="104">
        <v>59.612298279683444</v>
      </c>
      <c r="K12" s="104">
        <v>516.51</v>
      </c>
      <c r="L12" s="104">
        <v>87.473528740172071</v>
      </c>
      <c r="M12" s="103">
        <v>31.450109609169363</v>
      </c>
      <c r="N12" s="104">
        <v>322.8456482412858</v>
      </c>
      <c r="O12" s="103">
        <v>1.7447398317529401</v>
      </c>
      <c r="P12" s="105">
        <v>1.3136447171451444</v>
      </c>
      <c r="Q12" s="105">
        <v>1.5271616042736667</v>
      </c>
      <c r="R12" s="103">
        <v>19.332821522959353</v>
      </c>
      <c r="S12" s="103">
        <v>13.664713934946707</v>
      </c>
      <c r="T12" s="106">
        <v>546.58855739786827</v>
      </c>
      <c r="U12" s="104">
        <v>82.301495450858027</v>
      </c>
      <c r="V12" s="103">
        <v>20.534477983937972</v>
      </c>
      <c r="W12" s="103">
        <v>4.7281943213370106</v>
      </c>
    </row>
    <row r="13" spans="1:27">
      <c r="A13" s="100">
        <v>46</v>
      </c>
      <c r="B13" s="23">
        <v>25.329577198028499</v>
      </c>
      <c r="C13" s="24">
        <v>515.25</v>
      </c>
      <c r="D13" s="24">
        <v>97.941967730689711</v>
      </c>
      <c r="E13" s="23">
        <v>39.33197791204023</v>
      </c>
      <c r="F13" s="24">
        <v>438.84257737904193</v>
      </c>
      <c r="G13" s="24">
        <v>102.87</v>
      </c>
      <c r="H13" s="24">
        <v>88.043640447811441</v>
      </c>
      <c r="I13" s="23">
        <v>6.3456316539641975</v>
      </c>
      <c r="J13" s="24">
        <v>70.252635132473415</v>
      </c>
      <c r="K13" s="24">
        <v>412.38</v>
      </c>
      <c r="L13" s="24">
        <v>100.25897068631213</v>
      </c>
      <c r="M13" s="23">
        <v>32.986346258076033</v>
      </c>
      <c r="N13" s="24">
        <v>368.58994224656851</v>
      </c>
      <c r="O13" s="23">
        <v>1.728995581556904</v>
      </c>
      <c r="P13" s="21">
        <v>1.1834304569781295</v>
      </c>
      <c r="Q13" s="21">
        <v>1.4993115755177724</v>
      </c>
      <c r="R13" s="23">
        <v>18.241727427453601</v>
      </c>
      <c r="S13" s="23">
        <v>14.404032315991833</v>
      </c>
      <c r="T13" s="89">
        <v>662.58548653562434</v>
      </c>
      <c r="U13" s="24">
        <v>79.369669466121792</v>
      </c>
      <c r="V13" s="23">
        <v>19.965065502183407</v>
      </c>
      <c r="W13" s="23">
        <v>5.2915863440604527</v>
      </c>
      <c r="Y13" s="16"/>
      <c r="AA13" s="16"/>
    </row>
    <row r="14" spans="1:27">
      <c r="A14" s="102">
        <v>52</v>
      </c>
      <c r="B14" s="103">
        <v>27.433548681259101</v>
      </c>
      <c r="C14" s="104">
        <v>411.57</v>
      </c>
      <c r="D14" s="104">
        <v>110.63294417565355</v>
      </c>
      <c r="E14" s="103">
        <v>40.08692899994481</v>
      </c>
      <c r="F14" s="104">
        <v>478.04030681129012</v>
      </c>
      <c r="G14" s="104">
        <v>70.919999999999959</v>
      </c>
      <c r="H14" s="104">
        <v>100.82204238597738</v>
      </c>
      <c r="I14" s="103">
        <v>5.7368017845203383</v>
      </c>
      <c r="J14" s="104">
        <v>68.234377280640274</v>
      </c>
      <c r="K14" s="104">
        <v>340.65000000000003</v>
      </c>
      <c r="L14" s="104">
        <v>112.56798969559298</v>
      </c>
      <c r="M14" s="103">
        <v>34.350127215424472</v>
      </c>
      <c r="N14" s="104">
        <v>409.80592953064985</v>
      </c>
      <c r="O14" s="103">
        <v>1.7102529402816724</v>
      </c>
      <c r="P14" s="105">
        <v>1.0823371718967749</v>
      </c>
      <c r="Q14" s="105">
        <v>1.4628637541478136</v>
      </c>
      <c r="R14" s="103">
        <v>17.250331163773648</v>
      </c>
      <c r="S14" s="103">
        <v>14.84684329039127</v>
      </c>
      <c r="T14" s="106">
        <v>772.03585110034601</v>
      </c>
      <c r="U14" s="104">
        <v>76.562649143867304</v>
      </c>
      <c r="V14" s="103">
        <v>17.23157664552809</v>
      </c>
      <c r="W14" s="103">
        <v>5.8221110857965011</v>
      </c>
      <c r="Y14" s="16"/>
    </row>
    <row r="15" spans="1:27">
      <c r="A15" s="100">
        <v>58</v>
      </c>
      <c r="B15" s="23">
        <v>29.276709524154601</v>
      </c>
      <c r="C15" s="24">
        <v>340.2</v>
      </c>
      <c r="D15" s="24">
        <v>122.82950733728302</v>
      </c>
      <c r="E15" s="23">
        <v>40.844150246805121</v>
      </c>
      <c r="F15" s="24">
        <v>513.30791651329173</v>
      </c>
      <c r="G15" s="24">
        <v>51.92999999999995</v>
      </c>
      <c r="H15" s="24">
        <v>112.81289262910077</v>
      </c>
      <c r="I15" s="23">
        <v>5.2592755897770331</v>
      </c>
      <c r="J15" s="24">
        <v>66.125664404787585</v>
      </c>
      <c r="K15" s="24">
        <v>288.27000000000004</v>
      </c>
      <c r="L15" s="24">
        <v>124.54833558487361</v>
      </c>
      <c r="M15" s="23">
        <v>35.584874657028088</v>
      </c>
      <c r="N15" s="24">
        <v>447.18225210850414</v>
      </c>
      <c r="O15" s="23">
        <v>1.6950050755643697</v>
      </c>
      <c r="P15" s="21">
        <v>1.0016094778512599</v>
      </c>
      <c r="Q15" s="21">
        <v>1.423498935294258</v>
      </c>
      <c r="R15" s="23">
        <v>16.368278455510637</v>
      </c>
      <c r="S15" s="23">
        <v>15.095479966948066</v>
      </c>
      <c r="T15" s="89">
        <v>875.53783808298783</v>
      </c>
      <c r="U15" s="24">
        <v>73.847229776659375</v>
      </c>
      <c r="V15" s="23">
        <v>15.264550264550248</v>
      </c>
      <c r="W15" s="23">
        <v>6.328998024271475</v>
      </c>
      <c r="Y15" s="16"/>
    </row>
    <row r="16" spans="1:27">
      <c r="A16" s="102">
        <v>64</v>
      </c>
      <c r="B16" s="103">
        <v>30.903385078430102</v>
      </c>
      <c r="C16" s="104">
        <v>288</v>
      </c>
      <c r="D16" s="104">
        <v>134.71836603825983</v>
      </c>
      <c r="E16" s="103">
        <v>41.594531524135647</v>
      </c>
      <c r="F16" s="104">
        <v>545.39192284156798</v>
      </c>
      <c r="G16" s="104">
        <v>39.329999999999984</v>
      </c>
      <c r="H16" s="104">
        <v>124.69259056182804</v>
      </c>
      <c r="I16" s="103">
        <v>4.8662607698960372</v>
      </c>
      <c r="J16" s="104">
        <v>63.952503548434208</v>
      </c>
      <c r="K16" s="104">
        <v>248.67000000000002</v>
      </c>
      <c r="L16" s="104">
        <v>136.23649927372236</v>
      </c>
      <c r="M16" s="103">
        <v>36.72827075423961</v>
      </c>
      <c r="N16" s="104">
        <v>481.43941929313377</v>
      </c>
      <c r="O16" s="103">
        <v>1.6827848823112059</v>
      </c>
      <c r="P16" s="105">
        <v>0.9383965368777597</v>
      </c>
      <c r="Q16" s="105">
        <v>1.3839467986589769</v>
      </c>
      <c r="R16" s="103">
        <v>15.631005163263458</v>
      </c>
      <c r="S16" s="103">
        <v>15.214804825250807</v>
      </c>
      <c r="T16" s="106">
        <v>973.74750881605166</v>
      </c>
      <c r="U16" s="104">
        <v>71.262729188593156</v>
      </c>
      <c r="V16" s="103">
        <v>13.656249999999993</v>
      </c>
      <c r="W16" s="103">
        <v>6.8143272619728972</v>
      </c>
      <c r="Y16" s="16"/>
    </row>
    <row r="17" spans="1:25">
      <c r="A17" s="100">
        <v>70</v>
      </c>
      <c r="B17" s="23">
        <v>32.355108741760198</v>
      </c>
      <c r="C17" s="24">
        <v>248.57999999999998</v>
      </c>
      <c r="D17" s="24">
        <v>146.33320856758959</v>
      </c>
      <c r="E17" s="23">
        <v>42.358649975506168</v>
      </c>
      <c r="F17" s="24">
        <v>575.22545027271451</v>
      </c>
      <c r="G17" s="24">
        <v>31.049999999999983</v>
      </c>
      <c r="H17" s="24">
        <v>136.15867084751267</v>
      </c>
      <c r="I17" s="23">
        <v>4.5808107201643509</v>
      </c>
      <c r="J17" s="24">
        <v>62.44242015894838</v>
      </c>
      <c r="K17" s="24">
        <v>217.53</v>
      </c>
      <c r="L17" s="24">
        <v>147.72837112668216</v>
      </c>
      <c r="M17" s="23">
        <v>37.777839255341817</v>
      </c>
      <c r="N17" s="24">
        <v>512.78303011376613</v>
      </c>
      <c r="O17" s="23">
        <v>1.6764412431822204</v>
      </c>
      <c r="P17" s="21">
        <v>0.88660611898807551</v>
      </c>
      <c r="Q17" s="21">
        <v>1.3457567762205866</v>
      </c>
      <c r="R17" s="23">
        <v>14.997671554558357</v>
      </c>
      <c r="S17" s="23">
        <v>15.250479139937605</v>
      </c>
      <c r="T17" s="89">
        <v>1067.5335397956324</v>
      </c>
      <c r="U17" s="24">
        <v>68.806398631477023</v>
      </c>
      <c r="V17" s="23">
        <v>12.490948587979718</v>
      </c>
      <c r="W17" s="23">
        <v>7.285764079415463</v>
      </c>
      <c r="Y17" s="16"/>
    </row>
    <row r="18" spans="1:25">
      <c r="A18" s="102">
        <v>76</v>
      </c>
      <c r="B18" s="103">
        <v>33.6634092025756</v>
      </c>
      <c r="C18" s="104">
        <v>217.53</v>
      </c>
      <c r="D18" s="104">
        <v>157.78701858577548</v>
      </c>
      <c r="E18" s="103">
        <v>43.09747596927027</v>
      </c>
      <c r="F18" s="104">
        <v>602.76905944111627</v>
      </c>
      <c r="G18" s="104">
        <v>24.930000000000007</v>
      </c>
      <c r="H18" s="104">
        <v>147.73550531295328</v>
      </c>
      <c r="I18" s="103">
        <v>4.3299429913597507</v>
      </c>
      <c r="J18" s="104">
        <v>60.884874385237026</v>
      </c>
      <c r="K18" s="104">
        <v>192.6</v>
      </c>
      <c r="L18" s="104">
        <v>159.04165014234724</v>
      </c>
      <c r="M18" s="103">
        <v>38.76753297791052</v>
      </c>
      <c r="N18" s="104">
        <v>541.88418505587924</v>
      </c>
      <c r="O18" s="103">
        <v>1.6753094984599433</v>
      </c>
      <c r="P18" s="105">
        <v>0.84254718886628999</v>
      </c>
      <c r="Q18" s="105">
        <v>1.3095080401232833</v>
      </c>
      <c r="R18" s="103">
        <v>14.442887837017224</v>
      </c>
      <c r="S18" s="103">
        <v>15.230520646355034</v>
      </c>
      <c r="T18" s="106">
        <v>1157.5195691229826</v>
      </c>
      <c r="U18" s="104">
        <v>66.496241048142409</v>
      </c>
      <c r="V18" s="103">
        <v>11.460488208522966</v>
      </c>
      <c r="W18" s="103">
        <v>7.7429515677982614</v>
      </c>
      <c r="Y18" s="16"/>
    </row>
    <row r="19" spans="1:25">
      <c r="A19" s="100">
        <v>82</v>
      </c>
      <c r="B19" s="23">
        <v>34.854690498351999</v>
      </c>
      <c r="C19" s="24">
        <v>192.6</v>
      </c>
      <c r="D19" s="24">
        <v>169.0935071331069</v>
      </c>
      <c r="E19" s="23">
        <v>43.82281611110826</v>
      </c>
      <c r="F19" s="24">
        <v>628.54151207798259</v>
      </c>
      <c r="G19" s="24">
        <v>20.339999999999975</v>
      </c>
      <c r="H19" s="24">
        <v>159.76441703770391</v>
      </c>
      <c r="I19" s="23">
        <v>4.1314376473838976</v>
      </c>
      <c r="J19" s="24">
        <v>59.669588860324325</v>
      </c>
      <c r="K19" s="24">
        <v>172.26000000000002</v>
      </c>
      <c r="L19" s="24">
        <v>170.1613026434965</v>
      </c>
      <c r="M19" s="23">
        <v>39.691378463724362</v>
      </c>
      <c r="N19" s="24">
        <v>568.87192321765826</v>
      </c>
      <c r="O19" s="23">
        <v>1.6771655715617395</v>
      </c>
      <c r="P19" s="21">
        <v>0.80555790804109506</v>
      </c>
      <c r="Q19" s="21">
        <v>1.2753401729581373</v>
      </c>
      <c r="R19" s="23">
        <v>13.97126222041995</v>
      </c>
      <c r="S19" s="23">
        <v>15.172888977379097</v>
      </c>
      <c r="T19" s="89">
        <v>1244.1768961450859</v>
      </c>
      <c r="U19" s="24">
        <v>64.350259378408467</v>
      </c>
      <c r="V19" s="23">
        <v>10.560747663551389</v>
      </c>
      <c r="W19" s="23">
        <v>8.1873331523968726</v>
      </c>
      <c r="Y19" s="16"/>
    </row>
    <row r="20" spans="1:25">
      <c r="A20" s="107">
        <v>88</v>
      </c>
      <c r="B20" s="108">
        <v>35.950367145538301</v>
      </c>
      <c r="C20" s="109">
        <v>172.26000000000002</v>
      </c>
      <c r="D20" s="109">
        <v>180.22429607286693</v>
      </c>
      <c r="E20" s="108">
        <v>44.524725911970933</v>
      </c>
      <c r="F20" s="109">
        <v>652.69949654017796</v>
      </c>
      <c r="G20" s="109">
        <v>172.26000000000002</v>
      </c>
      <c r="H20" s="109">
        <v>180.22429607286693</v>
      </c>
      <c r="I20" s="108">
        <v>44.524725911970933</v>
      </c>
      <c r="J20" s="109">
        <v>652.69949654017796</v>
      </c>
      <c r="K20" s="109" t="s">
        <v>27</v>
      </c>
      <c r="L20" s="109" t="s">
        <v>27</v>
      </c>
      <c r="M20" s="108" t="s">
        <v>27</v>
      </c>
      <c r="N20" s="109" t="s">
        <v>27</v>
      </c>
      <c r="O20" s="108" t="s">
        <v>27</v>
      </c>
      <c r="P20" s="110" t="s">
        <v>27</v>
      </c>
      <c r="Q20" s="110">
        <v>1.2433095639865208</v>
      </c>
      <c r="R20" s="108" t="s">
        <v>27</v>
      </c>
      <c r="S20" s="108">
        <v>15.090959880313703</v>
      </c>
      <c r="T20" s="111">
        <v>1328.0044694676058</v>
      </c>
      <c r="U20" s="109">
        <v>62.6671385486313</v>
      </c>
      <c r="V20" s="112" t="s">
        <v>27</v>
      </c>
      <c r="W20" s="113" t="s">
        <v>27</v>
      </c>
    </row>
    <row r="22" spans="1:25">
      <c r="A22" s="12" t="s">
        <v>32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 spans="1:25" ht="15" customHeight="1">
      <c r="A23" s="187" t="s">
        <v>1</v>
      </c>
      <c r="B23" s="187" t="s">
        <v>2</v>
      </c>
      <c r="C23" s="189" t="s">
        <v>33</v>
      </c>
      <c r="D23" s="190"/>
      <c r="E23" s="190"/>
      <c r="F23" s="190"/>
      <c r="G23" s="190"/>
      <c r="H23" s="190"/>
      <c r="I23" s="190"/>
      <c r="J23" s="191"/>
      <c r="K23" s="189" t="s">
        <v>105</v>
      </c>
      <c r="L23" s="191"/>
      <c r="M23" s="189" t="s">
        <v>34</v>
      </c>
      <c r="N23" s="190"/>
      <c r="O23" s="190"/>
      <c r="P23" s="190"/>
      <c r="Q23" s="190"/>
      <c r="R23" s="190"/>
      <c r="S23" s="190"/>
      <c r="T23" s="191"/>
      <c r="U23" s="189" t="s">
        <v>106</v>
      </c>
      <c r="V23" s="191"/>
      <c r="W23" s="193" t="s">
        <v>113</v>
      </c>
    </row>
    <row r="24" spans="1:25">
      <c r="A24" s="188"/>
      <c r="B24" s="188"/>
      <c r="C24" s="96" t="s">
        <v>19</v>
      </c>
      <c r="D24" s="96" t="s">
        <v>20</v>
      </c>
      <c r="E24" s="96" t="s">
        <v>21</v>
      </c>
      <c r="F24" s="96" t="s">
        <v>22</v>
      </c>
      <c r="G24" s="96" t="s">
        <v>23</v>
      </c>
      <c r="H24" s="96" t="s">
        <v>24</v>
      </c>
      <c r="I24" s="96" t="s">
        <v>25</v>
      </c>
      <c r="J24" s="96" t="s">
        <v>26</v>
      </c>
      <c r="K24" s="124" t="s">
        <v>105</v>
      </c>
      <c r="L24" s="124" t="s">
        <v>107</v>
      </c>
      <c r="M24" s="96" t="s">
        <v>19</v>
      </c>
      <c r="N24" s="96" t="s">
        <v>20</v>
      </c>
      <c r="O24" s="96" t="s">
        <v>21</v>
      </c>
      <c r="P24" s="96" t="s">
        <v>22</v>
      </c>
      <c r="Q24" s="96" t="s">
        <v>23</v>
      </c>
      <c r="R24" s="96" t="s">
        <v>24</v>
      </c>
      <c r="S24" s="96" t="s">
        <v>25</v>
      </c>
      <c r="T24" s="96" t="s">
        <v>26</v>
      </c>
      <c r="U24" s="139" t="s">
        <v>106</v>
      </c>
      <c r="V24" s="139" t="s">
        <v>107</v>
      </c>
      <c r="W24" s="194"/>
    </row>
    <row r="25" spans="1:25" s="95" customFormat="1" ht="12">
      <c r="A25" s="92" t="s">
        <v>65</v>
      </c>
      <c r="B25" s="92" t="s">
        <v>66</v>
      </c>
      <c r="C25" s="92" t="s">
        <v>70</v>
      </c>
      <c r="D25" s="92" t="s">
        <v>70</v>
      </c>
      <c r="E25" s="92" t="s">
        <v>70</v>
      </c>
      <c r="F25" s="92" t="s">
        <v>70</v>
      </c>
      <c r="G25" s="92" t="s">
        <v>70</v>
      </c>
      <c r="H25" s="92" t="s">
        <v>70</v>
      </c>
      <c r="I25" s="92" t="s">
        <v>70</v>
      </c>
      <c r="J25" s="92" t="s">
        <v>70</v>
      </c>
      <c r="K25" s="92" t="s">
        <v>75</v>
      </c>
      <c r="L25" s="92" t="s">
        <v>75</v>
      </c>
      <c r="M25" s="92" t="s">
        <v>70</v>
      </c>
      <c r="N25" s="92" t="s">
        <v>70</v>
      </c>
      <c r="O25" s="92" t="s">
        <v>70</v>
      </c>
      <c r="P25" s="92" t="s">
        <v>70</v>
      </c>
      <c r="Q25" s="92" t="s">
        <v>70</v>
      </c>
      <c r="R25" s="92" t="s">
        <v>70</v>
      </c>
      <c r="S25" s="92" t="s">
        <v>70</v>
      </c>
      <c r="T25" s="92" t="s">
        <v>70</v>
      </c>
      <c r="U25" s="92" t="s">
        <v>75</v>
      </c>
      <c r="V25" s="92" t="s">
        <v>75</v>
      </c>
      <c r="W25" s="92" t="s">
        <v>75</v>
      </c>
    </row>
    <row r="26" spans="1:25">
      <c r="A26" s="87">
        <v>22</v>
      </c>
      <c r="B26" s="23">
        <v>13.4858048725128</v>
      </c>
      <c r="C26" s="24">
        <v>47.055103987535418</v>
      </c>
      <c r="D26" s="24">
        <v>114.72895248905404</v>
      </c>
      <c r="E26" s="24">
        <v>21.274198107513172</v>
      </c>
      <c r="F26" s="24">
        <v>0</v>
      </c>
      <c r="G26" s="24">
        <v>0</v>
      </c>
      <c r="H26" s="24">
        <v>0</v>
      </c>
      <c r="I26" s="24">
        <v>0</v>
      </c>
      <c r="J26" s="24">
        <v>0</v>
      </c>
      <c r="K26" s="88">
        <v>5298.0854101390169</v>
      </c>
      <c r="L26" s="88">
        <v>3427.008459613231</v>
      </c>
      <c r="M26" s="25">
        <v>21.851352398839641</v>
      </c>
      <c r="N26" s="25">
        <v>27.276176991473658</v>
      </c>
      <c r="O26" s="25">
        <v>5.0216643650415236</v>
      </c>
      <c r="P26" s="25">
        <v>0</v>
      </c>
      <c r="Q26" s="25">
        <v>0</v>
      </c>
      <c r="R26" s="25">
        <v>0</v>
      </c>
      <c r="S26" s="25">
        <v>0</v>
      </c>
      <c r="T26" s="25">
        <v>0</v>
      </c>
      <c r="U26" s="88">
        <v>959.39582689393274</v>
      </c>
      <c r="V26" s="88">
        <v>620.57467185997439</v>
      </c>
      <c r="W26" s="89">
        <v>3427.008459613231</v>
      </c>
    </row>
    <row r="27" spans="1:25">
      <c r="A27" s="114">
        <v>28</v>
      </c>
      <c r="B27" s="103">
        <v>16.993347082138001</v>
      </c>
      <c r="C27" s="104">
        <v>9.5033890993228987</v>
      </c>
      <c r="D27" s="104">
        <v>116.73472301598989</v>
      </c>
      <c r="E27" s="104">
        <v>71.892324411116363</v>
      </c>
      <c r="F27" s="104">
        <v>51.234294849874033</v>
      </c>
      <c r="G27" s="104">
        <v>0</v>
      </c>
      <c r="H27" s="104">
        <v>0</v>
      </c>
      <c r="I27" s="104">
        <v>0</v>
      </c>
      <c r="J27" s="104">
        <v>0</v>
      </c>
      <c r="K27" s="115">
        <v>9583.8908900863771</v>
      </c>
      <c r="L27" s="115">
        <v>5504.7430449849553</v>
      </c>
      <c r="M27" s="116">
        <v>7.5879209906491205</v>
      </c>
      <c r="N27" s="116">
        <v>32.723108535664188</v>
      </c>
      <c r="O27" s="116">
        <v>7.7623064094283718</v>
      </c>
      <c r="P27" s="116">
        <v>5.4319182067569773</v>
      </c>
      <c r="Q27" s="116">
        <v>0</v>
      </c>
      <c r="R27" s="116">
        <v>0</v>
      </c>
      <c r="S27" s="116">
        <v>0</v>
      </c>
      <c r="T27" s="116">
        <v>0</v>
      </c>
      <c r="U27" s="115">
        <v>1335.3490625518552</v>
      </c>
      <c r="V27" s="115">
        <v>766.99052076157921</v>
      </c>
      <c r="W27" s="106">
        <v>6125.3177168449292</v>
      </c>
    </row>
    <row r="28" spans="1:25">
      <c r="A28" s="87">
        <v>34</v>
      </c>
      <c r="B28" s="23">
        <v>20.147311950683498</v>
      </c>
      <c r="C28" s="24">
        <v>0.43569103117433311</v>
      </c>
      <c r="D28" s="24">
        <v>42.566908228135759</v>
      </c>
      <c r="E28" s="24">
        <v>85.343824482228115</v>
      </c>
      <c r="F28" s="24">
        <v>162.83828815014544</v>
      </c>
      <c r="G28" s="24">
        <v>26.701853480270881</v>
      </c>
      <c r="H28" s="24">
        <v>0</v>
      </c>
      <c r="I28" s="24">
        <v>0</v>
      </c>
      <c r="J28" s="24">
        <v>0</v>
      </c>
      <c r="K28" s="88">
        <v>15106.540524670359</v>
      </c>
      <c r="L28" s="88">
        <v>7704.7611527597546</v>
      </c>
      <c r="M28" s="25">
        <v>0.43569103117433311</v>
      </c>
      <c r="N28" s="25">
        <v>23.727815242107141</v>
      </c>
      <c r="O28" s="25">
        <v>15.859346663207177</v>
      </c>
      <c r="P28" s="25">
        <v>13.042796428209041</v>
      </c>
      <c r="Q28" s="25">
        <v>2.534503387984258</v>
      </c>
      <c r="R28" s="25">
        <v>0</v>
      </c>
      <c r="S28" s="25">
        <v>0</v>
      </c>
      <c r="T28" s="25">
        <v>0</v>
      </c>
      <c r="U28" s="88">
        <v>1933.3847211445677</v>
      </c>
      <c r="V28" s="88">
        <v>986.08066277563375</v>
      </c>
      <c r="W28" s="89">
        <v>9092.3263453813088</v>
      </c>
    </row>
    <row r="29" spans="1:25">
      <c r="A29" s="114">
        <v>40</v>
      </c>
      <c r="B29" s="103">
        <v>22.9157724170684</v>
      </c>
      <c r="C29" s="104">
        <v>0</v>
      </c>
      <c r="D29" s="104">
        <v>4.5359043839804674</v>
      </c>
      <c r="E29" s="104">
        <v>29.147570002761125</v>
      </c>
      <c r="F29" s="104">
        <v>207.79856135956345</v>
      </c>
      <c r="G29" s="104">
        <v>140.67321198902673</v>
      </c>
      <c r="H29" s="104">
        <v>0</v>
      </c>
      <c r="I29" s="104">
        <v>0</v>
      </c>
      <c r="J29" s="104">
        <v>0</v>
      </c>
      <c r="K29" s="115">
        <v>21096.354881959109</v>
      </c>
      <c r="L29" s="115">
        <v>9554.3369213855512</v>
      </c>
      <c r="M29" s="116">
        <v>0</v>
      </c>
      <c r="N29" s="116">
        <v>3.9998453501694544</v>
      </c>
      <c r="O29" s="116">
        <v>17.353318949510495</v>
      </c>
      <c r="P29" s="116">
        <v>27.540651826758566</v>
      </c>
      <c r="Q29" s="116">
        <v>10.415783367608725</v>
      </c>
      <c r="R29" s="116">
        <v>0</v>
      </c>
      <c r="S29" s="116">
        <v>0</v>
      </c>
      <c r="T29" s="116">
        <v>0</v>
      </c>
      <c r="U29" s="115">
        <v>2600.0673663283787</v>
      </c>
      <c r="V29" s="115">
        <v>1177.5455890460437</v>
      </c>
      <c r="W29" s="106">
        <v>11927.982776782739</v>
      </c>
    </row>
    <row r="30" spans="1:25">
      <c r="A30" s="87">
        <v>46</v>
      </c>
      <c r="B30" s="23">
        <v>25.329577198028499</v>
      </c>
      <c r="C30" s="24">
        <v>0</v>
      </c>
      <c r="D30" s="24">
        <v>0</v>
      </c>
      <c r="E30" s="24">
        <v>1.9818259169065173</v>
      </c>
      <c r="F30" s="24">
        <v>116.02460054182455</v>
      </c>
      <c r="G30" s="24">
        <v>311.862503895055</v>
      </c>
      <c r="H30" s="24">
        <v>8.6609035311218925</v>
      </c>
      <c r="I30" s="24">
        <v>0</v>
      </c>
      <c r="J30" s="24">
        <v>0</v>
      </c>
      <c r="K30" s="88">
        <v>27003.743953336234</v>
      </c>
      <c r="L30" s="88">
        <v>10859.656299466084</v>
      </c>
      <c r="M30" s="25">
        <v>0</v>
      </c>
      <c r="N30" s="25">
        <v>0</v>
      </c>
      <c r="O30" s="25">
        <v>1.8651852100992501</v>
      </c>
      <c r="P30" s="25">
        <v>45.986199755779964</v>
      </c>
      <c r="Q30" s="25">
        <v>21.593032039039283</v>
      </c>
      <c r="R30" s="25">
        <v>0.49547463342148751</v>
      </c>
      <c r="S30" s="25">
        <v>0</v>
      </c>
      <c r="T30" s="25">
        <v>0</v>
      </c>
      <c r="U30" s="88">
        <v>3621.2457985931246</v>
      </c>
      <c r="V30" s="88">
        <v>1456.2974977308052</v>
      </c>
      <c r="W30" s="89">
        <v>14410.847743909315</v>
      </c>
    </row>
    <row r="31" spans="1:25">
      <c r="A31" s="114">
        <v>52</v>
      </c>
      <c r="B31" s="103">
        <v>27.433548681259101</v>
      </c>
      <c r="C31" s="104">
        <v>0</v>
      </c>
      <c r="D31" s="104">
        <v>0</v>
      </c>
      <c r="E31" s="104">
        <v>0</v>
      </c>
      <c r="F31" s="104">
        <v>13.176200000706881</v>
      </c>
      <c r="G31" s="104">
        <v>360.48340518758789</v>
      </c>
      <c r="H31" s="104">
        <v>104.08166507434993</v>
      </c>
      <c r="I31" s="104">
        <v>0</v>
      </c>
      <c r="J31" s="104">
        <v>0</v>
      </c>
      <c r="K31" s="115">
        <v>31952.244081295928</v>
      </c>
      <c r="L31" s="115">
        <v>11410.178366712445</v>
      </c>
      <c r="M31" s="116">
        <v>0</v>
      </c>
      <c r="N31" s="116">
        <v>0</v>
      </c>
      <c r="O31" s="116">
        <v>0</v>
      </c>
      <c r="P31" s="116">
        <v>9.9698242423822165</v>
      </c>
      <c r="Q31" s="116">
        <v>52.791420850087206</v>
      </c>
      <c r="R31" s="116">
        <v>5.1740956395256124</v>
      </c>
      <c r="S31" s="116">
        <v>0</v>
      </c>
      <c r="T31" s="116">
        <v>0</v>
      </c>
      <c r="U31" s="115">
        <v>3960.7410120049158</v>
      </c>
      <c r="V31" s="115">
        <v>1414.384582702409</v>
      </c>
      <c r="W31" s="106">
        <v>16417.667308886481</v>
      </c>
    </row>
    <row r="32" spans="1:25">
      <c r="A32" s="87">
        <v>58</v>
      </c>
      <c r="B32" s="23">
        <v>29.276709524154601</v>
      </c>
      <c r="C32" s="24">
        <v>0</v>
      </c>
      <c r="D32" s="24">
        <v>0</v>
      </c>
      <c r="E32" s="24">
        <v>0</v>
      </c>
      <c r="F32" s="24">
        <v>0</v>
      </c>
      <c r="G32" s="24">
        <v>241.97964251148235</v>
      </c>
      <c r="H32" s="24">
        <v>271.04084351433897</v>
      </c>
      <c r="I32" s="24">
        <v>0</v>
      </c>
      <c r="J32" s="24">
        <v>0</v>
      </c>
      <c r="K32" s="88">
        <v>36428.618472717681</v>
      </c>
      <c r="L32" s="88">
        <v>11551.349896931993</v>
      </c>
      <c r="M32" s="25">
        <v>0</v>
      </c>
      <c r="N32" s="25">
        <v>0</v>
      </c>
      <c r="O32" s="25">
        <v>0</v>
      </c>
      <c r="P32" s="25">
        <v>0</v>
      </c>
      <c r="Q32" s="25">
        <v>53.309266606335264</v>
      </c>
      <c r="R32" s="25">
        <v>12.528967310982864</v>
      </c>
      <c r="S32" s="25">
        <v>0</v>
      </c>
      <c r="T32" s="25">
        <v>0</v>
      </c>
      <c r="U32" s="88">
        <v>4162.8076423443508</v>
      </c>
      <c r="V32" s="88">
        <v>1320.0074459687512</v>
      </c>
      <c r="W32" s="89">
        <v>17973.223421808438</v>
      </c>
    </row>
    <row r="33" spans="1:25">
      <c r="A33" s="114">
        <v>64</v>
      </c>
      <c r="B33" s="103">
        <v>30.903385078430102</v>
      </c>
      <c r="C33" s="104">
        <v>0</v>
      </c>
      <c r="D33" s="104">
        <v>0</v>
      </c>
      <c r="E33" s="104">
        <v>0</v>
      </c>
      <c r="F33" s="104">
        <v>0</v>
      </c>
      <c r="G33" s="104">
        <v>62.722629611509298</v>
      </c>
      <c r="H33" s="104">
        <v>438.20879636891067</v>
      </c>
      <c r="I33" s="104">
        <v>44.20494362356564</v>
      </c>
      <c r="J33" s="104">
        <v>0</v>
      </c>
      <c r="K33" s="115">
        <v>40378.002984626597</v>
      </c>
      <c r="L33" s="115">
        <v>11369.303056133884</v>
      </c>
      <c r="M33" s="116">
        <v>0</v>
      </c>
      <c r="N33" s="116">
        <v>0</v>
      </c>
      <c r="O33" s="116">
        <v>0</v>
      </c>
      <c r="P33" s="116">
        <v>0</v>
      </c>
      <c r="Q33" s="116">
        <v>29.516543641703947</v>
      </c>
      <c r="R33" s="116">
        <v>32.348472077989754</v>
      </c>
      <c r="S33" s="116">
        <v>1.8319345911583613</v>
      </c>
      <c r="T33" s="116">
        <v>0</v>
      </c>
      <c r="U33" s="115">
        <v>4262.4707804577783</v>
      </c>
      <c r="V33" s="115">
        <v>1200.1911557981464</v>
      </c>
      <c r="W33" s="106">
        <v>19111.184026979081</v>
      </c>
    </row>
    <row r="34" spans="1:25">
      <c r="A34" s="87">
        <v>70</v>
      </c>
      <c r="B34" s="23">
        <v>32.355108741760198</v>
      </c>
      <c r="C34" s="24">
        <v>0</v>
      </c>
      <c r="D34" s="24">
        <v>0</v>
      </c>
      <c r="E34" s="24">
        <v>0</v>
      </c>
      <c r="F34" s="24">
        <v>0</v>
      </c>
      <c r="G34" s="24">
        <v>1.1508210198129829</v>
      </c>
      <c r="H34" s="24">
        <v>391.15503095969314</v>
      </c>
      <c r="I34" s="24">
        <v>182.66712108195114</v>
      </c>
      <c r="J34" s="24">
        <v>0</v>
      </c>
      <c r="K34" s="88">
        <v>43773.995947655552</v>
      </c>
      <c r="L34" s="88">
        <v>10944.707767369437</v>
      </c>
      <c r="M34" s="25">
        <v>0</v>
      </c>
      <c r="N34" s="25">
        <v>0</v>
      </c>
      <c r="O34" s="25">
        <v>0</v>
      </c>
      <c r="P34" s="25">
        <v>0</v>
      </c>
      <c r="Q34" s="25">
        <v>1.0059411705465522</v>
      </c>
      <c r="R34" s="25">
        <v>55.1737171439988</v>
      </c>
      <c r="S34" s="25">
        <v>6.0102846331465924</v>
      </c>
      <c r="T34" s="25">
        <v>0</v>
      </c>
      <c r="U34" s="88">
        <v>4310.1926608219064</v>
      </c>
      <c r="V34" s="88">
        <v>1077.6671873905721</v>
      </c>
      <c r="W34" s="89">
        <v>19886.77989401278</v>
      </c>
    </row>
    <row r="35" spans="1:25">
      <c r="A35" s="114">
        <v>76</v>
      </c>
      <c r="B35" s="103">
        <v>33.6634092025756</v>
      </c>
      <c r="C35" s="104">
        <v>0</v>
      </c>
      <c r="D35" s="104">
        <v>0</v>
      </c>
      <c r="E35" s="104">
        <v>0</v>
      </c>
      <c r="F35" s="104">
        <v>0</v>
      </c>
      <c r="G35" s="104">
        <v>0</v>
      </c>
      <c r="H35" s="104">
        <v>211.63885939941471</v>
      </c>
      <c r="I35" s="104">
        <v>390.8550458116523</v>
      </c>
      <c r="J35" s="104">
        <v>0</v>
      </c>
      <c r="K35" s="115">
        <v>46562.686155821051</v>
      </c>
      <c r="L35" s="115">
        <v>10337.724938690844</v>
      </c>
      <c r="M35" s="116">
        <v>0</v>
      </c>
      <c r="N35" s="116">
        <v>0</v>
      </c>
      <c r="O35" s="116">
        <v>0</v>
      </c>
      <c r="P35" s="116">
        <v>0</v>
      </c>
      <c r="Q35" s="116">
        <v>0</v>
      </c>
      <c r="R35" s="116">
        <v>48.567668485136302</v>
      </c>
      <c r="S35" s="116">
        <v>12.042051670051425</v>
      </c>
      <c r="T35" s="116">
        <v>0</v>
      </c>
      <c r="U35" s="115">
        <v>4280.3284112224628</v>
      </c>
      <c r="V35" s="115">
        <v>950.30723988739692</v>
      </c>
      <c r="W35" s="106">
        <v>20357.46425272476</v>
      </c>
    </row>
    <row r="36" spans="1:25">
      <c r="A36" s="87">
        <v>82</v>
      </c>
      <c r="B36" s="23">
        <v>34.854690498351999</v>
      </c>
      <c r="C36" s="24">
        <v>0</v>
      </c>
      <c r="D36" s="24">
        <v>0</v>
      </c>
      <c r="E36" s="24">
        <v>0</v>
      </c>
      <c r="F36" s="24">
        <v>0</v>
      </c>
      <c r="G36" s="24">
        <v>0</v>
      </c>
      <c r="H36" s="24">
        <v>24.371257288732696</v>
      </c>
      <c r="I36" s="24">
        <v>523.73253872868122</v>
      </c>
      <c r="J36" s="24">
        <v>80.113505616500248</v>
      </c>
      <c r="K36" s="88">
        <v>48742.964391680958</v>
      </c>
      <c r="L36" s="88">
        <v>9609.4350023209045</v>
      </c>
      <c r="M36" s="25">
        <v>0</v>
      </c>
      <c r="N36" s="25">
        <v>0</v>
      </c>
      <c r="O36" s="25">
        <v>0</v>
      </c>
      <c r="P36" s="25">
        <v>0</v>
      </c>
      <c r="Q36" s="25">
        <v>0</v>
      </c>
      <c r="R36" s="25">
        <v>13.104488622035388</v>
      </c>
      <c r="S36" s="25">
        <v>44.061500548684791</v>
      </c>
      <c r="T36" s="25">
        <v>2.179389245535575</v>
      </c>
      <c r="U36" s="88">
        <v>4205.487873420132</v>
      </c>
      <c r="V36" s="88">
        <v>829.0911904319214</v>
      </c>
      <c r="W36" s="89">
        <v>20579.481556242215</v>
      </c>
    </row>
    <row r="37" spans="1:25">
      <c r="A37" s="114">
        <v>88</v>
      </c>
      <c r="B37" s="108">
        <v>35.950367145538301</v>
      </c>
      <c r="C37" s="109">
        <v>0</v>
      </c>
      <c r="D37" s="109">
        <v>0</v>
      </c>
      <c r="E37" s="109">
        <v>0</v>
      </c>
      <c r="F37" s="109">
        <v>0</v>
      </c>
      <c r="G37" s="109">
        <v>0</v>
      </c>
      <c r="H37" s="109">
        <v>0.24257188002773608</v>
      </c>
      <c r="I37" s="109">
        <v>395.77840422732362</v>
      </c>
      <c r="J37" s="109">
        <v>256.67852043282477</v>
      </c>
      <c r="K37" s="117">
        <v>50342.626448943571</v>
      </c>
      <c r="L37" s="117">
        <v>8812.9388059056982</v>
      </c>
      <c r="M37" s="118">
        <v>0</v>
      </c>
      <c r="N37" s="118">
        <v>0</v>
      </c>
      <c r="O37" s="118">
        <v>0</v>
      </c>
      <c r="P37" s="118">
        <v>0</v>
      </c>
      <c r="Q37" s="118">
        <v>0</v>
      </c>
      <c r="R37" s="118">
        <v>0.24257188002773608</v>
      </c>
      <c r="S37" s="118">
        <v>395.77840422732362</v>
      </c>
      <c r="T37" s="118">
        <v>256.67852043282477</v>
      </c>
      <c r="U37" s="117">
        <v>50342.626448943571</v>
      </c>
      <c r="V37" s="117">
        <v>8812.9388059056982</v>
      </c>
      <c r="W37" s="111">
        <v>20612.076550258935</v>
      </c>
    </row>
    <row r="38" spans="1:25" s="10" customFormat="1">
      <c r="A38" s="26" t="s">
        <v>13</v>
      </c>
      <c r="B38" s="27" t="s">
        <v>27</v>
      </c>
      <c r="C38" s="27" t="s">
        <v>27</v>
      </c>
      <c r="D38" s="27" t="s">
        <v>27</v>
      </c>
      <c r="E38" s="27" t="s">
        <v>27</v>
      </c>
      <c r="F38" s="27" t="s">
        <v>27</v>
      </c>
      <c r="G38" s="27" t="s">
        <v>27</v>
      </c>
      <c r="H38" s="27" t="s">
        <v>27</v>
      </c>
      <c r="I38" s="27" t="s">
        <v>27</v>
      </c>
      <c r="J38" s="27" t="s">
        <v>27</v>
      </c>
      <c r="K38" s="27" t="s">
        <v>27</v>
      </c>
      <c r="L38" s="27" t="s">
        <v>27</v>
      </c>
      <c r="M38" s="26">
        <v>29.874964420663094</v>
      </c>
      <c r="N38" s="26">
        <v>87.726946119414436</v>
      </c>
      <c r="O38" s="26">
        <v>47.861821597286813</v>
      </c>
      <c r="P38" s="26">
        <v>101.97139045988676</v>
      </c>
      <c r="Q38" s="26">
        <v>171.16649106330524</v>
      </c>
      <c r="R38" s="26">
        <v>167.63545579311793</v>
      </c>
      <c r="S38" s="26">
        <v>459.72417567036479</v>
      </c>
      <c r="T38" s="26">
        <v>258.85790967836033</v>
      </c>
      <c r="U38" s="27" t="s">
        <v>27</v>
      </c>
      <c r="V38" s="90">
        <v>20612.076550258935</v>
      </c>
      <c r="W38" s="28" t="s">
        <v>27</v>
      </c>
    </row>
    <row r="39" spans="1:25">
      <c r="A39" s="17"/>
      <c r="V39" s="9"/>
    </row>
    <row r="40" spans="1:25">
      <c r="H40" s="15"/>
      <c r="I40" s="15"/>
      <c r="J40" s="15"/>
      <c r="W40" s="15" t="s">
        <v>77</v>
      </c>
    </row>
    <row r="41" spans="1:25">
      <c r="V41" s="9"/>
      <c r="W41" s="15" t="s">
        <v>78</v>
      </c>
      <c r="X41" s="9"/>
      <c r="Y41" s="9"/>
    </row>
    <row r="42" spans="1:25">
      <c r="A42" s="8"/>
      <c r="B42" s="8"/>
      <c r="C42" s="8"/>
      <c r="D42" s="8"/>
      <c r="E42" s="8"/>
      <c r="F42" s="8"/>
      <c r="G42" s="8"/>
      <c r="H42" s="8"/>
      <c r="I42" s="8"/>
      <c r="J42" s="8"/>
      <c r="V42" s="9"/>
      <c r="W42" s="15"/>
      <c r="X42" s="9"/>
      <c r="Y42" s="15"/>
    </row>
    <row r="43" spans="1:25">
      <c r="V43" s="9"/>
      <c r="W43" s="9"/>
      <c r="X43" s="9"/>
      <c r="Y43" s="9"/>
    </row>
    <row r="44" spans="1:25"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spans="1:25">
      <c r="V45" s="9"/>
      <c r="W45" s="9"/>
      <c r="X45" s="9"/>
      <c r="Y45" s="9"/>
    </row>
    <row r="46" spans="1:25">
      <c r="V46" s="9"/>
      <c r="W46" s="9"/>
      <c r="X46" s="9"/>
      <c r="Y46" s="9"/>
    </row>
  </sheetData>
  <mergeCells count="17">
    <mergeCell ref="B23:B24"/>
    <mergeCell ref="D1:T1"/>
    <mergeCell ref="A23:A24"/>
    <mergeCell ref="C23:J23"/>
    <mergeCell ref="A6:A7"/>
    <mergeCell ref="B6:B7"/>
    <mergeCell ref="C6:F6"/>
    <mergeCell ref="G6:J6"/>
    <mergeCell ref="K6:N6"/>
    <mergeCell ref="K23:L23"/>
    <mergeCell ref="W23:W24"/>
    <mergeCell ref="V6:V7"/>
    <mergeCell ref="W6:W7"/>
    <mergeCell ref="U6:U7"/>
    <mergeCell ref="M23:T23"/>
    <mergeCell ref="O6:T6"/>
    <mergeCell ref="U23:V23"/>
  </mergeCells>
  <pageMargins left="0.70866141732283472" right="0.70866141732283472" top="0.74803149606299213" bottom="0.74803149606299213" header="0.31496062992125984" footer="0.31496062992125984"/>
  <pageSetup paperSize="9" scale="79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46"/>
  <sheetViews>
    <sheetView workbookViewId="0">
      <selection activeCell="W23" sqref="W23:W24"/>
    </sheetView>
  </sheetViews>
  <sheetFormatPr baseColWidth="10" defaultRowHeight="15"/>
  <cols>
    <col min="1" max="21" width="6.7109375" style="9" customWidth="1"/>
    <col min="22" max="23" width="6.7109375" style="17" customWidth="1"/>
    <col min="24" max="16384" width="11.42578125" style="17"/>
  </cols>
  <sheetData>
    <row r="1" spans="1:27" ht="30.75" customHeight="1">
      <c r="D1" s="151" t="s">
        <v>62</v>
      </c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</row>
    <row r="2" spans="1:27">
      <c r="A2" s="12"/>
      <c r="B2" s="14"/>
      <c r="C2" s="13"/>
      <c r="D2" s="13"/>
      <c r="E2" s="13"/>
      <c r="F2" s="13"/>
      <c r="G2" s="13"/>
      <c r="H2" s="13"/>
      <c r="I2" s="13"/>
      <c r="J2" s="13"/>
      <c r="K2" s="14"/>
      <c r="L2" s="13"/>
      <c r="M2" s="13"/>
      <c r="U2" s="15"/>
      <c r="V2" s="15"/>
      <c r="W2" s="15"/>
    </row>
    <row r="3" spans="1:27">
      <c r="A3" s="12" t="s">
        <v>85</v>
      </c>
      <c r="B3" s="12"/>
      <c r="C3" s="12"/>
      <c r="D3" s="14"/>
      <c r="E3" s="14" t="s">
        <v>80</v>
      </c>
      <c r="F3" s="14"/>
      <c r="G3" s="13"/>
      <c r="H3" s="13"/>
      <c r="I3" s="14"/>
      <c r="J3" s="13"/>
      <c r="K3" s="14" t="s">
        <v>86</v>
      </c>
      <c r="L3" s="14"/>
      <c r="M3" s="14"/>
      <c r="N3" s="13"/>
      <c r="R3" s="14" t="s">
        <v>83</v>
      </c>
      <c r="V3" s="9"/>
      <c r="W3" s="9"/>
    </row>
    <row r="4" spans="1:27">
      <c r="A4" s="13"/>
      <c r="B4" s="14"/>
      <c r="C4" s="13"/>
      <c r="D4" s="14"/>
      <c r="E4" s="14" t="s">
        <v>29</v>
      </c>
      <c r="F4" s="14"/>
      <c r="G4" s="13"/>
      <c r="H4" s="13"/>
      <c r="I4" s="14"/>
      <c r="J4" s="13"/>
      <c r="K4" s="14" t="s">
        <v>35</v>
      </c>
      <c r="L4" s="13"/>
      <c r="M4" s="13"/>
      <c r="N4" s="13"/>
      <c r="O4" s="8"/>
      <c r="P4" s="8"/>
      <c r="Q4" s="8"/>
      <c r="R4" s="14" t="s">
        <v>84</v>
      </c>
      <c r="S4" s="8"/>
      <c r="T4" s="8"/>
      <c r="U4" s="8"/>
      <c r="V4" s="8"/>
      <c r="W4" s="13"/>
    </row>
    <row r="5" spans="1:27">
      <c r="A5" s="12" t="s">
        <v>0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7">
      <c r="A6" s="185" t="s">
        <v>1</v>
      </c>
      <c r="B6" s="185" t="s">
        <v>2</v>
      </c>
      <c r="C6" s="198" t="s">
        <v>109</v>
      </c>
      <c r="D6" s="199"/>
      <c r="E6" s="199"/>
      <c r="F6" s="199"/>
      <c r="G6" s="199" t="s">
        <v>110</v>
      </c>
      <c r="H6" s="199"/>
      <c r="I6" s="199"/>
      <c r="J6" s="199"/>
      <c r="K6" s="199" t="s">
        <v>111</v>
      </c>
      <c r="L6" s="199"/>
      <c r="M6" s="199"/>
      <c r="N6" s="199"/>
      <c r="O6" s="195" t="s">
        <v>3</v>
      </c>
      <c r="P6" s="196"/>
      <c r="Q6" s="196"/>
      <c r="R6" s="196"/>
      <c r="S6" s="196"/>
      <c r="T6" s="197"/>
      <c r="U6" s="187" t="s">
        <v>14</v>
      </c>
      <c r="V6" s="193" t="s">
        <v>64</v>
      </c>
      <c r="W6" s="187" t="s">
        <v>31</v>
      </c>
    </row>
    <row r="7" spans="1:27">
      <c r="A7" s="186"/>
      <c r="B7" s="186"/>
      <c r="C7" s="101" t="s">
        <v>4</v>
      </c>
      <c r="D7" s="101" t="s">
        <v>5</v>
      </c>
      <c r="E7" s="101" t="s">
        <v>6</v>
      </c>
      <c r="F7" s="101" t="s">
        <v>7</v>
      </c>
      <c r="G7" s="101" t="s">
        <v>4</v>
      </c>
      <c r="H7" s="101" t="s">
        <v>5</v>
      </c>
      <c r="I7" s="101" t="s">
        <v>6</v>
      </c>
      <c r="J7" s="101" t="s">
        <v>7</v>
      </c>
      <c r="K7" s="101" t="s">
        <v>4</v>
      </c>
      <c r="L7" s="101" t="s">
        <v>5</v>
      </c>
      <c r="M7" s="101" t="s">
        <v>6</v>
      </c>
      <c r="N7" s="101" t="s">
        <v>7</v>
      </c>
      <c r="O7" s="99" t="s">
        <v>15</v>
      </c>
      <c r="P7" s="101" t="s">
        <v>8</v>
      </c>
      <c r="Q7" s="101" t="s">
        <v>9</v>
      </c>
      <c r="R7" s="101" t="s">
        <v>10</v>
      </c>
      <c r="S7" s="101" t="s">
        <v>11</v>
      </c>
      <c r="T7" s="101" t="s">
        <v>12</v>
      </c>
      <c r="U7" s="192"/>
      <c r="V7" s="194"/>
      <c r="W7" s="188"/>
    </row>
    <row r="8" spans="1:27" s="95" customFormat="1" ht="12" customHeight="1">
      <c r="A8" s="92" t="s">
        <v>65</v>
      </c>
      <c r="B8" s="92" t="s">
        <v>66</v>
      </c>
      <c r="C8" s="92" t="s">
        <v>67</v>
      </c>
      <c r="D8" s="92" t="s">
        <v>68</v>
      </c>
      <c r="E8" s="92" t="s">
        <v>69</v>
      </c>
      <c r="F8" s="92" t="s">
        <v>70</v>
      </c>
      <c r="G8" s="92" t="s">
        <v>67</v>
      </c>
      <c r="H8" s="92" t="s">
        <v>68</v>
      </c>
      <c r="I8" s="92" t="s">
        <v>69</v>
      </c>
      <c r="J8" s="92" t="s">
        <v>70</v>
      </c>
      <c r="K8" s="92" t="s">
        <v>67</v>
      </c>
      <c r="L8" s="92" t="s">
        <v>68</v>
      </c>
      <c r="M8" s="92" t="s">
        <v>69</v>
      </c>
      <c r="N8" s="92" t="s">
        <v>70</v>
      </c>
      <c r="O8" s="92" t="s">
        <v>71</v>
      </c>
      <c r="P8" s="92" t="s">
        <v>72</v>
      </c>
      <c r="Q8" s="92" t="s">
        <v>72</v>
      </c>
      <c r="R8" s="92" t="s">
        <v>73</v>
      </c>
      <c r="S8" s="92" t="s">
        <v>73</v>
      </c>
      <c r="T8" s="92" t="s">
        <v>70</v>
      </c>
      <c r="U8" s="93"/>
      <c r="V8" s="94" t="s">
        <v>74</v>
      </c>
      <c r="W8" s="92" t="s">
        <v>66</v>
      </c>
    </row>
    <row r="9" spans="1:27">
      <c r="A9" s="22">
        <v>25</v>
      </c>
      <c r="B9" s="19">
        <v>13.4224085311889</v>
      </c>
      <c r="C9" s="18">
        <v>2127.7149999999997</v>
      </c>
      <c r="D9" s="18">
        <v>42.943996247712072</v>
      </c>
      <c r="E9" s="19">
        <v>31.225435464063107</v>
      </c>
      <c r="F9" s="18">
        <v>183.71523176296824</v>
      </c>
      <c r="G9" s="18">
        <v>845.75499999999965</v>
      </c>
      <c r="H9" s="18">
        <v>38.489468535048502</v>
      </c>
      <c r="I9" s="19">
        <v>9.9705367523435875</v>
      </c>
      <c r="J9" s="18">
        <v>55.14457439752735</v>
      </c>
      <c r="K9" s="18">
        <v>1281.96</v>
      </c>
      <c r="L9" s="18">
        <v>45.645420747939504</v>
      </c>
      <c r="M9" s="19">
        <v>21.25489871171952</v>
      </c>
      <c r="N9" s="18">
        <v>128.57065736544089</v>
      </c>
      <c r="O9" s="19">
        <v>1.6186662384014134</v>
      </c>
      <c r="P9" s="20">
        <v>1.6557731755421401</v>
      </c>
      <c r="Q9" s="20">
        <v>1.2490174185625242</v>
      </c>
      <c r="R9" s="19">
        <v>17.203231423084958</v>
      </c>
      <c r="S9" s="19">
        <v>7.3486092705187298</v>
      </c>
      <c r="T9" s="91">
        <v>183.71523176296824</v>
      </c>
      <c r="U9" s="18">
        <v>92.381096162789831</v>
      </c>
      <c r="V9" s="19">
        <v>39.749449526839818</v>
      </c>
      <c r="W9" s="23">
        <v>3.0012173395992421</v>
      </c>
      <c r="Y9" s="16"/>
      <c r="Z9" s="16"/>
      <c r="AA9" s="16"/>
    </row>
    <row r="10" spans="1:27">
      <c r="A10" s="102">
        <v>31</v>
      </c>
      <c r="B10" s="103">
        <v>16.398925434112499</v>
      </c>
      <c r="C10" s="104">
        <v>1278.99</v>
      </c>
      <c r="D10" s="104">
        <v>55.357418178347984</v>
      </c>
      <c r="E10" s="103">
        <v>31.189537764972361</v>
      </c>
      <c r="F10" s="104">
        <v>231.79004590395064</v>
      </c>
      <c r="G10" s="104">
        <v>371.78999999999996</v>
      </c>
      <c r="H10" s="104">
        <v>46.235243284518887</v>
      </c>
      <c r="I10" s="103">
        <v>6.3246155974228806</v>
      </c>
      <c r="J10" s="104">
        <v>43.703454296039439</v>
      </c>
      <c r="K10" s="104">
        <v>907.2</v>
      </c>
      <c r="L10" s="104">
        <v>58.687682929096965</v>
      </c>
      <c r="M10" s="103">
        <v>24.86492216754948</v>
      </c>
      <c r="N10" s="104">
        <v>188.0865916079112</v>
      </c>
      <c r="O10" s="103">
        <v>1.6194282538215699</v>
      </c>
      <c r="P10" s="105">
        <v>1.4696454532978802</v>
      </c>
      <c r="Q10" s="105">
        <v>1.3277443392682564</v>
      </c>
      <c r="R10" s="103">
        <v>17.462122359660906</v>
      </c>
      <c r="S10" s="103">
        <v>9.2559554935960637</v>
      </c>
      <c r="T10" s="106">
        <v>286.93462030147799</v>
      </c>
      <c r="U10" s="104">
        <v>87.784593119507861</v>
      </c>
      <c r="V10" s="103">
        <v>29.069031032298923</v>
      </c>
      <c r="W10" s="103">
        <v>3.5676575701277948</v>
      </c>
    </row>
    <row r="11" spans="1:27">
      <c r="A11" s="100">
        <v>37</v>
      </c>
      <c r="B11" s="23">
        <v>19.0736131858825</v>
      </c>
      <c r="C11" s="24">
        <v>904.59</v>
      </c>
      <c r="D11" s="24">
        <v>68.404252452026384</v>
      </c>
      <c r="E11" s="23">
        <v>33.682794887336762</v>
      </c>
      <c r="F11" s="24">
        <v>292.85932576587663</v>
      </c>
      <c r="G11" s="24">
        <v>200.5200000000001</v>
      </c>
      <c r="H11" s="24">
        <v>58.855969911118834</v>
      </c>
      <c r="I11" s="23">
        <v>5.5275015615326097</v>
      </c>
      <c r="J11" s="24">
        <v>46.316482369634741</v>
      </c>
      <c r="K11" s="24">
        <v>704.06999999999994</v>
      </c>
      <c r="L11" s="24">
        <v>70.888704606251025</v>
      </c>
      <c r="M11" s="23">
        <v>28.155293325804152</v>
      </c>
      <c r="N11" s="24">
        <v>246.54284339624189</v>
      </c>
      <c r="O11" s="23">
        <v>1.5791778414999793</v>
      </c>
      <c r="P11" s="21">
        <v>1.3236097258857289</v>
      </c>
      <c r="Q11" s="21">
        <v>1.3507553307325197</v>
      </c>
      <c r="R11" s="23">
        <v>17.231999608162795</v>
      </c>
      <c r="S11" s="23">
        <v>10.586685255660633</v>
      </c>
      <c r="T11" s="89">
        <v>391.70735445944342</v>
      </c>
      <c r="U11" s="24">
        <v>84.529014029828872</v>
      </c>
      <c r="V11" s="23">
        <v>22.166948562332117</v>
      </c>
      <c r="W11" s="23">
        <v>4.0497364810107275</v>
      </c>
    </row>
    <row r="12" spans="1:27">
      <c r="A12" s="102">
        <v>43</v>
      </c>
      <c r="B12" s="103">
        <v>21.429347869872998</v>
      </c>
      <c r="C12" s="104">
        <v>702.36</v>
      </c>
      <c r="D12" s="104">
        <v>80.3637716552509</v>
      </c>
      <c r="E12" s="103">
        <v>36.096951681118526</v>
      </c>
      <c r="F12" s="104">
        <v>349.93484104521866</v>
      </c>
      <c r="G12" s="104">
        <v>134.37</v>
      </c>
      <c r="H12" s="104">
        <v>70.24526938480345</v>
      </c>
      <c r="I12" s="103">
        <v>5.2762652182250953</v>
      </c>
      <c r="J12" s="104">
        <v>50.014143416326419</v>
      </c>
      <c r="K12" s="104">
        <v>567.99</v>
      </c>
      <c r="L12" s="104">
        <v>82.576361111310121</v>
      </c>
      <c r="M12" s="103">
        <v>30.820686462893431</v>
      </c>
      <c r="N12" s="104">
        <v>299.92069762889224</v>
      </c>
      <c r="O12" s="103">
        <v>1.5454979566378906</v>
      </c>
      <c r="P12" s="105">
        <v>1.2033506032764898</v>
      </c>
      <c r="Q12" s="105">
        <v>1.3469675719166885</v>
      </c>
      <c r="R12" s="103">
        <v>16.709184442895843</v>
      </c>
      <c r="S12" s="103">
        <v>11.513938421126051</v>
      </c>
      <c r="T12" s="106">
        <v>495.09935210842019</v>
      </c>
      <c r="U12" s="104">
        <v>81.527305070351744</v>
      </c>
      <c r="V12" s="103">
        <v>19.131214761660686</v>
      </c>
      <c r="W12" s="103">
        <v>4.5088349654856383</v>
      </c>
    </row>
    <row r="13" spans="1:27">
      <c r="A13" s="100">
        <v>49</v>
      </c>
      <c r="B13" s="23">
        <v>23.506487707138</v>
      </c>
      <c r="C13" s="24">
        <v>566.64</v>
      </c>
      <c r="D13" s="24">
        <v>91.849348851137464</v>
      </c>
      <c r="E13" s="23">
        <v>38.04079008255237</v>
      </c>
      <c r="F13" s="24">
        <v>400.17580428626729</v>
      </c>
      <c r="G13" s="24">
        <v>108.18</v>
      </c>
      <c r="H13" s="24">
        <v>81.989571521403263</v>
      </c>
      <c r="I13" s="23">
        <v>5.7870115168524237</v>
      </c>
      <c r="J13" s="24">
        <v>60.176749524181162</v>
      </c>
      <c r="K13" s="24">
        <v>458.46</v>
      </c>
      <c r="L13" s="24">
        <v>94.025252201318793</v>
      </c>
      <c r="M13" s="23">
        <v>32.253778565699946</v>
      </c>
      <c r="N13" s="24">
        <v>339.99905476208613</v>
      </c>
      <c r="O13" s="23">
        <v>1.5389081227894199</v>
      </c>
      <c r="P13" s="21">
        <v>1.0949061372150151</v>
      </c>
      <c r="Q13" s="21">
        <v>1.3293818206546233</v>
      </c>
      <c r="R13" s="23">
        <v>15.879860719219201</v>
      </c>
      <c r="S13" s="23">
        <v>12.15009099522031</v>
      </c>
      <c r="T13" s="89">
        <v>595.35445876579524</v>
      </c>
      <c r="U13" s="24">
        <v>78.540399906960033</v>
      </c>
      <c r="V13" s="23">
        <v>19.091486658195681</v>
      </c>
      <c r="W13" s="23">
        <v>5.0186159105494532</v>
      </c>
      <c r="Y13" s="16"/>
      <c r="AA13" s="16"/>
    </row>
    <row r="14" spans="1:27">
      <c r="A14" s="102">
        <v>55</v>
      </c>
      <c r="B14" s="103">
        <v>25.332181158065701</v>
      </c>
      <c r="C14" s="104">
        <v>457.56</v>
      </c>
      <c r="D14" s="104">
        <v>103.25870093805531</v>
      </c>
      <c r="E14" s="103">
        <v>38.823215388990036</v>
      </c>
      <c r="F14" s="104">
        <v>435.27821907740133</v>
      </c>
      <c r="G14" s="104">
        <v>76.409999999999968</v>
      </c>
      <c r="H14" s="104">
        <v>93.175093666175783</v>
      </c>
      <c r="I14" s="103">
        <v>5.2788583882121429</v>
      </c>
      <c r="J14" s="104">
        <v>58.834148253849037</v>
      </c>
      <c r="K14" s="104">
        <v>381.15000000000003</v>
      </c>
      <c r="L14" s="104">
        <v>105.16390536582365</v>
      </c>
      <c r="M14" s="103">
        <v>33.544357000777893</v>
      </c>
      <c r="N14" s="104">
        <v>376.44407082355229</v>
      </c>
      <c r="O14" s="103">
        <v>1.5294790638515134</v>
      </c>
      <c r="P14" s="105">
        <v>1.0089310537314293</v>
      </c>
      <c r="Q14" s="105">
        <v>1.3038026551884843</v>
      </c>
      <c r="R14" s="103">
        <v>15.118806490275603</v>
      </c>
      <c r="S14" s="103">
        <v>12.556974965111101</v>
      </c>
      <c r="T14" s="106">
        <v>690.6336230811105</v>
      </c>
      <c r="U14" s="104">
        <v>75.675578943883664</v>
      </c>
      <c r="V14" s="103">
        <v>16.699449252557034</v>
      </c>
      <c r="W14" s="103">
        <v>5.5041051508121113</v>
      </c>
      <c r="Y14" s="16"/>
    </row>
    <row r="15" spans="1:27">
      <c r="A15" s="100">
        <v>61</v>
      </c>
      <c r="B15" s="23">
        <v>26.9518597412109</v>
      </c>
      <c r="C15" s="24">
        <v>380.61</v>
      </c>
      <c r="D15" s="24">
        <v>114.34077974893273</v>
      </c>
      <c r="E15" s="23">
        <v>39.597943323166469</v>
      </c>
      <c r="F15" s="24">
        <v>467.15690976520591</v>
      </c>
      <c r="G15" s="24">
        <v>55.70999999999998</v>
      </c>
      <c r="H15" s="24">
        <v>105.0771646695467</v>
      </c>
      <c r="I15" s="23">
        <v>4.8948567393157205</v>
      </c>
      <c r="J15" s="24">
        <v>57.776483644244991</v>
      </c>
      <c r="K15" s="24">
        <v>324.90000000000003</v>
      </c>
      <c r="L15" s="24">
        <v>115.85482571952366</v>
      </c>
      <c r="M15" s="23">
        <v>34.703086583850748</v>
      </c>
      <c r="N15" s="24">
        <v>409.38042612096092</v>
      </c>
      <c r="O15" s="23">
        <v>1.5193049917607599</v>
      </c>
      <c r="P15" s="21">
        <v>0.9385346469799648</v>
      </c>
      <c r="Q15" s="21">
        <v>1.2747988911107409</v>
      </c>
      <c r="R15" s="23">
        <v>14.425048546155447</v>
      </c>
      <c r="S15" s="23">
        <v>12.808958393815804</v>
      </c>
      <c r="T15" s="89">
        <v>781.34646202276406</v>
      </c>
      <c r="U15" s="24">
        <v>73.084365746278905</v>
      </c>
      <c r="V15" s="23">
        <v>14.637030030740123</v>
      </c>
      <c r="W15" s="23">
        <v>5.9615587538495527</v>
      </c>
      <c r="Y15" s="16"/>
    </row>
    <row r="16" spans="1:27">
      <c r="A16" s="102">
        <v>67</v>
      </c>
      <c r="B16" s="103">
        <v>28.3892831459045</v>
      </c>
      <c r="C16" s="104">
        <v>324.54000000000002</v>
      </c>
      <c r="D16" s="104">
        <v>124.97065567008822</v>
      </c>
      <c r="E16" s="103">
        <v>40.334294465730537</v>
      </c>
      <c r="F16" s="104">
        <v>495.9307173978936</v>
      </c>
      <c r="G16" s="104">
        <v>42.840000000000032</v>
      </c>
      <c r="H16" s="104">
        <v>115.83153490809237</v>
      </c>
      <c r="I16" s="103">
        <v>4.5739690410740295</v>
      </c>
      <c r="J16" s="104">
        <v>56.331790953152392</v>
      </c>
      <c r="K16" s="104">
        <v>281.7</v>
      </c>
      <c r="L16" s="104">
        <v>126.30258512577721</v>
      </c>
      <c r="M16" s="103">
        <v>35.760325424656507</v>
      </c>
      <c r="N16" s="104">
        <v>439.59892644474121</v>
      </c>
      <c r="O16" s="103">
        <v>1.5107589907345229</v>
      </c>
      <c r="P16" s="105">
        <v>0.88400025787301928</v>
      </c>
      <c r="Q16" s="105">
        <v>1.2446856752184325</v>
      </c>
      <c r="R16" s="103">
        <v>13.861364747279103</v>
      </c>
      <c r="S16" s="103">
        <v>12.9536828850701</v>
      </c>
      <c r="T16" s="106">
        <v>867.89675329969668</v>
      </c>
      <c r="U16" s="104">
        <v>70.614202617497909</v>
      </c>
      <c r="V16" s="103">
        <v>13.200221852468118</v>
      </c>
      <c r="W16" s="103">
        <v>6.4023772496829476</v>
      </c>
      <c r="Y16" s="16"/>
    </row>
    <row r="17" spans="1:25">
      <c r="A17" s="100">
        <v>73</v>
      </c>
      <c r="B17" s="23">
        <v>29.694760316848701</v>
      </c>
      <c r="C17" s="24">
        <v>281.61</v>
      </c>
      <c r="D17" s="24">
        <v>135.36713907018435</v>
      </c>
      <c r="E17" s="23">
        <v>41.064326971894623</v>
      </c>
      <c r="F17" s="24">
        <v>522.76711492841582</v>
      </c>
      <c r="G17" s="24">
        <v>34.289999999999992</v>
      </c>
      <c r="H17" s="24">
        <v>125.49260445002417</v>
      </c>
      <c r="I17" s="23">
        <v>4.2972823180372544</v>
      </c>
      <c r="J17" s="24">
        <v>54.840127488703217</v>
      </c>
      <c r="K17" s="24">
        <v>247.32000000000002</v>
      </c>
      <c r="L17" s="24">
        <v>136.67990692113671</v>
      </c>
      <c r="M17" s="23">
        <v>36.767044653857369</v>
      </c>
      <c r="N17" s="24">
        <v>467.9269874397126</v>
      </c>
      <c r="O17" s="23">
        <v>1.5080146069253384</v>
      </c>
      <c r="P17" s="21">
        <v>0.83816933086598999</v>
      </c>
      <c r="Q17" s="21">
        <v>1.2150402984503166</v>
      </c>
      <c r="R17" s="23">
        <v>13.371021695835461</v>
      </c>
      <c r="S17" s="23">
        <v>13.028286873744813</v>
      </c>
      <c r="T17" s="89">
        <v>951.0649417833713</v>
      </c>
      <c r="U17" s="24">
        <v>68.253515065201626</v>
      </c>
      <c r="V17" s="23">
        <v>12.176414189837004</v>
      </c>
      <c r="W17" s="23">
        <v>6.8329000063172831</v>
      </c>
      <c r="Y17" s="16"/>
    </row>
    <row r="18" spans="1:25">
      <c r="A18" s="102">
        <v>79</v>
      </c>
      <c r="B18" s="103">
        <v>30.891143154144199</v>
      </c>
      <c r="C18" s="104">
        <v>247.32000000000002</v>
      </c>
      <c r="D18" s="104">
        <v>145.72799456268874</v>
      </c>
      <c r="E18" s="103">
        <v>41.796060639053309</v>
      </c>
      <c r="F18" s="104">
        <v>548.15311761472537</v>
      </c>
      <c r="G18" s="104">
        <v>27.720000000000027</v>
      </c>
      <c r="H18" s="104">
        <v>136.30448229490653</v>
      </c>
      <c r="I18" s="103">
        <v>4.0982989718956517</v>
      </c>
      <c r="J18" s="104">
        <v>54.005608684775723</v>
      </c>
      <c r="K18" s="104">
        <v>219.6</v>
      </c>
      <c r="L18" s="104">
        <v>146.87454909302343</v>
      </c>
      <c r="M18" s="103">
        <v>37.697761667157657</v>
      </c>
      <c r="N18" s="104">
        <v>494.14750892994965</v>
      </c>
      <c r="O18" s="103">
        <v>1.5092183959169507</v>
      </c>
      <c r="P18" s="105">
        <v>0.79861369933101045</v>
      </c>
      <c r="Q18" s="105">
        <v>1.1864171869882159</v>
      </c>
      <c r="R18" s="103">
        <v>12.935898628976238</v>
      </c>
      <c r="S18" s="103">
        <v>13.054317366561826</v>
      </c>
      <c r="T18" s="106">
        <v>1031.2910719583842</v>
      </c>
      <c r="U18" s="104">
        <v>66.075020480631267</v>
      </c>
      <c r="V18" s="103">
        <v>11.208151382823882</v>
      </c>
      <c r="W18" s="103">
        <v>7.2513441326056318</v>
      </c>
      <c r="Y18" s="16"/>
    </row>
    <row r="19" spans="1:25">
      <c r="A19" s="100">
        <v>85</v>
      </c>
      <c r="B19" s="23">
        <v>31.992579236984199</v>
      </c>
      <c r="C19" s="24">
        <v>219.6</v>
      </c>
      <c r="D19" s="24">
        <v>155.92985946852514</v>
      </c>
      <c r="E19" s="23">
        <v>42.48944386314372</v>
      </c>
      <c r="F19" s="24">
        <v>571.76290070380708</v>
      </c>
      <c r="G19" s="24">
        <v>22.859999999999985</v>
      </c>
      <c r="H19" s="24">
        <v>146.2500753033878</v>
      </c>
      <c r="I19" s="23">
        <v>3.8909760604329549</v>
      </c>
      <c r="J19" s="24">
        <v>52.659994427495917</v>
      </c>
      <c r="K19" s="24">
        <v>196.74</v>
      </c>
      <c r="L19" s="24">
        <v>157.01589937993711</v>
      </c>
      <c r="M19" s="23">
        <v>38.598467802710765</v>
      </c>
      <c r="N19" s="24">
        <v>519.10290627631116</v>
      </c>
      <c r="O19" s="23">
        <v>1.5129857769402644</v>
      </c>
      <c r="P19" s="21">
        <v>0.765363351158039</v>
      </c>
      <c r="Q19" s="21">
        <v>1.1590428231535896</v>
      </c>
      <c r="R19" s="23">
        <v>12.57089093338889</v>
      </c>
      <c r="S19" s="23">
        <v>13.045958396849903</v>
      </c>
      <c r="T19" s="89">
        <v>1108.9064637322417</v>
      </c>
      <c r="U19" s="24">
        <v>64.011130272289734</v>
      </c>
      <c r="V19" s="23">
        <v>10.409836065573765</v>
      </c>
      <c r="W19" s="23">
        <v>7.6610509498341433</v>
      </c>
      <c r="Y19" s="16"/>
    </row>
    <row r="20" spans="1:25">
      <c r="A20" s="107">
        <v>91</v>
      </c>
      <c r="B20" s="108">
        <v>33.022307525634702</v>
      </c>
      <c r="C20" s="109">
        <v>196.74</v>
      </c>
      <c r="D20" s="109">
        <v>166.0938140415787</v>
      </c>
      <c r="E20" s="108">
        <v>43.190647909658999</v>
      </c>
      <c r="F20" s="109">
        <v>594.5282518766445</v>
      </c>
      <c r="G20" s="109">
        <v>196.74</v>
      </c>
      <c r="H20" s="109">
        <v>166.0938140415787</v>
      </c>
      <c r="I20" s="108">
        <v>43.190647909658999</v>
      </c>
      <c r="J20" s="109">
        <v>594.5282518766445</v>
      </c>
      <c r="K20" s="109" t="s">
        <v>27</v>
      </c>
      <c r="L20" s="109" t="s">
        <v>27</v>
      </c>
      <c r="M20" s="108" t="s">
        <v>27</v>
      </c>
      <c r="N20" s="109" t="s">
        <v>27</v>
      </c>
      <c r="O20" s="108" t="s">
        <v>27</v>
      </c>
      <c r="P20" s="110" t="s">
        <v>27</v>
      </c>
      <c r="Q20" s="110">
        <v>1.1330859348901468</v>
      </c>
      <c r="R20" s="108" t="s">
        <v>27</v>
      </c>
      <c r="S20" s="108">
        <v>13.014635267390933</v>
      </c>
      <c r="T20" s="111">
        <v>1184.3318093325749</v>
      </c>
      <c r="U20" s="109">
        <v>62.460266401701602</v>
      </c>
      <c r="V20" s="112" t="s">
        <v>27</v>
      </c>
      <c r="W20" s="113" t="s">
        <v>27</v>
      </c>
    </row>
    <row r="22" spans="1:25">
      <c r="A22" s="12" t="s">
        <v>32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 spans="1:25" ht="15" customHeight="1">
      <c r="A23" s="187" t="s">
        <v>1</v>
      </c>
      <c r="B23" s="187" t="s">
        <v>2</v>
      </c>
      <c r="C23" s="189" t="s">
        <v>33</v>
      </c>
      <c r="D23" s="190"/>
      <c r="E23" s="190"/>
      <c r="F23" s="190"/>
      <c r="G23" s="190"/>
      <c r="H23" s="190"/>
      <c r="I23" s="190"/>
      <c r="J23" s="191"/>
      <c r="K23" s="189" t="s">
        <v>105</v>
      </c>
      <c r="L23" s="191"/>
      <c r="M23" s="189" t="s">
        <v>34</v>
      </c>
      <c r="N23" s="190"/>
      <c r="O23" s="190"/>
      <c r="P23" s="190"/>
      <c r="Q23" s="190"/>
      <c r="R23" s="190"/>
      <c r="S23" s="190"/>
      <c r="T23" s="191"/>
      <c r="U23" s="189" t="s">
        <v>106</v>
      </c>
      <c r="V23" s="191"/>
      <c r="W23" s="193" t="s">
        <v>113</v>
      </c>
    </row>
    <row r="24" spans="1:25">
      <c r="A24" s="188"/>
      <c r="B24" s="188"/>
      <c r="C24" s="96" t="s">
        <v>19</v>
      </c>
      <c r="D24" s="96" t="s">
        <v>20</v>
      </c>
      <c r="E24" s="96" t="s">
        <v>21</v>
      </c>
      <c r="F24" s="96" t="s">
        <v>22</v>
      </c>
      <c r="G24" s="96" t="s">
        <v>23</v>
      </c>
      <c r="H24" s="96" t="s">
        <v>24</v>
      </c>
      <c r="I24" s="96" t="s">
        <v>25</v>
      </c>
      <c r="J24" s="96" t="s">
        <v>26</v>
      </c>
      <c r="K24" s="123" t="s">
        <v>105</v>
      </c>
      <c r="L24" s="123" t="s">
        <v>107</v>
      </c>
      <c r="M24" s="96" t="s">
        <v>19</v>
      </c>
      <c r="N24" s="96" t="s">
        <v>20</v>
      </c>
      <c r="O24" s="96" t="s">
        <v>21</v>
      </c>
      <c r="P24" s="96" t="s">
        <v>22</v>
      </c>
      <c r="Q24" s="96" t="s">
        <v>23</v>
      </c>
      <c r="R24" s="96" t="s">
        <v>24</v>
      </c>
      <c r="S24" s="96" t="s">
        <v>25</v>
      </c>
      <c r="T24" s="96" t="s">
        <v>26</v>
      </c>
      <c r="U24" s="140" t="s">
        <v>106</v>
      </c>
      <c r="V24" s="140" t="s">
        <v>107</v>
      </c>
      <c r="W24" s="194"/>
    </row>
    <row r="25" spans="1:25" s="95" customFormat="1" ht="12">
      <c r="A25" s="92" t="s">
        <v>65</v>
      </c>
      <c r="B25" s="92" t="s">
        <v>66</v>
      </c>
      <c r="C25" s="92" t="s">
        <v>70</v>
      </c>
      <c r="D25" s="92" t="s">
        <v>70</v>
      </c>
      <c r="E25" s="92" t="s">
        <v>70</v>
      </c>
      <c r="F25" s="92" t="s">
        <v>70</v>
      </c>
      <c r="G25" s="92" t="s">
        <v>70</v>
      </c>
      <c r="H25" s="92" t="s">
        <v>70</v>
      </c>
      <c r="I25" s="92" t="s">
        <v>70</v>
      </c>
      <c r="J25" s="92" t="s">
        <v>70</v>
      </c>
      <c r="K25" s="92" t="s">
        <v>75</v>
      </c>
      <c r="L25" s="92" t="s">
        <v>75</v>
      </c>
      <c r="M25" s="92" t="s">
        <v>70</v>
      </c>
      <c r="N25" s="92" t="s">
        <v>70</v>
      </c>
      <c r="O25" s="92" t="s">
        <v>70</v>
      </c>
      <c r="P25" s="92" t="s">
        <v>70</v>
      </c>
      <c r="Q25" s="92" t="s">
        <v>70</v>
      </c>
      <c r="R25" s="92" t="s">
        <v>70</v>
      </c>
      <c r="S25" s="92" t="s">
        <v>70</v>
      </c>
      <c r="T25" s="92" t="s">
        <v>70</v>
      </c>
      <c r="U25" s="92" t="s">
        <v>75</v>
      </c>
      <c r="V25" s="92" t="s">
        <v>75</v>
      </c>
      <c r="W25" s="92" t="s">
        <v>75</v>
      </c>
    </row>
    <row r="26" spans="1:25">
      <c r="A26" s="87">
        <v>25</v>
      </c>
      <c r="B26" s="23">
        <v>13.4224085311889</v>
      </c>
      <c r="C26" s="24">
        <v>45.729134365488392</v>
      </c>
      <c r="D26" s="24">
        <v>116.21166995783628</v>
      </c>
      <c r="E26" s="24">
        <v>21.361171999060257</v>
      </c>
      <c r="F26" s="24">
        <v>0</v>
      </c>
      <c r="G26" s="24">
        <v>0</v>
      </c>
      <c r="H26" s="24">
        <v>0</v>
      </c>
      <c r="I26" s="24">
        <v>0</v>
      </c>
      <c r="J26" s="24">
        <v>0</v>
      </c>
      <c r="K26" s="88">
        <v>5322.4120116680697</v>
      </c>
      <c r="L26" s="88">
        <v>3244.1744267822087</v>
      </c>
      <c r="M26" s="25">
        <v>21.147621905950022</v>
      </c>
      <c r="N26" s="25">
        <v>28.67405254034275</v>
      </c>
      <c r="O26" s="25">
        <v>4.9133108504783669</v>
      </c>
      <c r="P26" s="25">
        <v>0</v>
      </c>
      <c r="Q26" s="25">
        <v>0</v>
      </c>
      <c r="R26" s="25">
        <v>0</v>
      </c>
      <c r="S26" s="25">
        <v>0</v>
      </c>
      <c r="T26" s="25">
        <v>0</v>
      </c>
      <c r="U26" s="88">
        <v>987.35865647204048</v>
      </c>
      <c r="V26" s="88">
        <v>601.82558140303502</v>
      </c>
      <c r="W26" s="89">
        <v>3244.1744267822087</v>
      </c>
    </row>
    <row r="27" spans="1:25">
      <c r="A27" s="114">
        <v>31</v>
      </c>
      <c r="B27" s="103">
        <v>16.398925434112499</v>
      </c>
      <c r="C27" s="104">
        <v>10.209298809575456</v>
      </c>
      <c r="D27" s="104">
        <v>117.4120103016717</v>
      </c>
      <c r="E27" s="104">
        <v>63.18530958205222</v>
      </c>
      <c r="F27" s="104">
        <v>40.820169840542242</v>
      </c>
      <c r="G27" s="104">
        <v>0</v>
      </c>
      <c r="H27" s="104">
        <v>0</v>
      </c>
      <c r="I27" s="104">
        <v>0</v>
      </c>
      <c r="J27" s="104">
        <v>0</v>
      </c>
      <c r="K27" s="115">
        <v>8690.8458661033492</v>
      </c>
      <c r="L27" s="115">
        <v>4703.8852973402654</v>
      </c>
      <c r="M27" s="116">
        <v>7.6457040318034277</v>
      </c>
      <c r="N27" s="116">
        <v>25.511440067138395</v>
      </c>
      <c r="O27" s="116">
        <v>6.4704502594577482</v>
      </c>
      <c r="P27" s="116">
        <v>3.912602567530914</v>
      </c>
      <c r="Q27" s="116">
        <v>0</v>
      </c>
      <c r="R27" s="116">
        <v>0</v>
      </c>
      <c r="S27" s="116">
        <v>0</v>
      </c>
      <c r="T27" s="116">
        <v>0</v>
      </c>
      <c r="U27" s="115">
        <v>1038.8363481837005</v>
      </c>
      <c r="V27" s="115">
        <v>562.26598651609913</v>
      </c>
      <c r="W27" s="106">
        <v>5305.7108787433008</v>
      </c>
    </row>
    <row r="28" spans="1:25">
      <c r="A28" s="87">
        <v>37</v>
      </c>
      <c r="B28" s="23">
        <v>19.0736131858825</v>
      </c>
      <c r="C28" s="24">
        <v>0.81898376501637427</v>
      </c>
      <c r="D28" s="24">
        <v>56.643327818151491</v>
      </c>
      <c r="E28" s="24">
        <v>90.265814539860003</v>
      </c>
      <c r="F28" s="24">
        <v>134.36611500965248</v>
      </c>
      <c r="G28" s="24">
        <v>10.538313931117194</v>
      </c>
      <c r="H28" s="24">
        <v>0</v>
      </c>
      <c r="I28" s="24">
        <v>0</v>
      </c>
      <c r="J28" s="24">
        <v>0</v>
      </c>
      <c r="K28" s="88">
        <v>13354.022142720669</v>
      </c>
      <c r="L28" s="88">
        <v>6418.0890241943725</v>
      </c>
      <c r="M28" s="25">
        <v>0.81082969299558338</v>
      </c>
      <c r="N28" s="25">
        <v>24.366336360348523</v>
      </c>
      <c r="O28" s="25">
        <v>9.2890973149151659</v>
      </c>
      <c r="P28" s="25">
        <v>10.992439556570083</v>
      </c>
      <c r="Q28" s="25">
        <v>0.63100874272781271</v>
      </c>
      <c r="R28" s="25">
        <v>0</v>
      </c>
      <c r="S28" s="25">
        <v>0</v>
      </c>
      <c r="T28" s="25">
        <v>0</v>
      </c>
      <c r="U28" s="88">
        <v>1521.1220322194806</v>
      </c>
      <c r="V28" s="88">
        <v>731.06787716162148</v>
      </c>
      <c r="W28" s="89">
        <v>7582.1805921135065</v>
      </c>
    </row>
    <row r="29" spans="1:25">
      <c r="A29" s="114">
        <v>43</v>
      </c>
      <c r="B29" s="103">
        <v>21.429347869872998</v>
      </c>
      <c r="C29" s="104">
        <v>0</v>
      </c>
      <c r="D29" s="104">
        <v>8.9640698016346487</v>
      </c>
      <c r="E29" s="104">
        <v>50.763401169341137</v>
      </c>
      <c r="F29" s="104">
        <v>202.61458833637275</v>
      </c>
      <c r="G29" s="104">
        <v>87.395521202796331</v>
      </c>
      <c r="H29" s="104">
        <v>0</v>
      </c>
      <c r="I29" s="104">
        <v>0</v>
      </c>
      <c r="J29" s="104">
        <v>0</v>
      </c>
      <c r="K29" s="115">
        <v>18395.181185183479</v>
      </c>
      <c r="L29" s="115">
        <v>7850.4885417047326</v>
      </c>
      <c r="M29" s="116">
        <v>0</v>
      </c>
      <c r="N29" s="116">
        <v>6.7424563221513498</v>
      </c>
      <c r="O29" s="116">
        <v>20.785856273996583</v>
      </c>
      <c r="P29" s="116">
        <v>16.526463452262455</v>
      </c>
      <c r="Q29" s="116">
        <v>5.7621068328423615</v>
      </c>
      <c r="R29" s="116">
        <v>0</v>
      </c>
      <c r="S29" s="116">
        <v>0</v>
      </c>
      <c r="T29" s="116">
        <v>0</v>
      </c>
      <c r="U29" s="115">
        <v>2025.9658281583897</v>
      </c>
      <c r="V29" s="115">
        <v>864.61891077503617</v>
      </c>
      <c r="W29" s="106">
        <v>9745.6479867854887</v>
      </c>
    </row>
    <row r="30" spans="1:25">
      <c r="A30" s="87">
        <v>49</v>
      </c>
      <c r="B30" s="23">
        <v>23.506487707138</v>
      </c>
      <c r="C30" s="24">
        <v>0</v>
      </c>
      <c r="D30" s="24">
        <v>7.7290806691048319E-2</v>
      </c>
      <c r="E30" s="24">
        <v>7.4445070024812363</v>
      </c>
      <c r="F30" s="24">
        <v>175.54778141693308</v>
      </c>
      <c r="G30" s="24">
        <v>216.85681750502098</v>
      </c>
      <c r="H30" s="24">
        <v>0</v>
      </c>
      <c r="I30" s="24">
        <v>0</v>
      </c>
      <c r="J30" s="24">
        <v>0</v>
      </c>
      <c r="K30" s="88">
        <v>23452.2181155908</v>
      </c>
      <c r="L30" s="88">
        <v>8887.4159862183205</v>
      </c>
      <c r="M30" s="25">
        <v>0</v>
      </c>
      <c r="N30" s="25">
        <v>7.7290806691048319E-2</v>
      </c>
      <c r="O30" s="25">
        <v>5.8371886095324959</v>
      </c>
      <c r="P30" s="25">
        <v>40.664237941661384</v>
      </c>
      <c r="Q30" s="25">
        <v>13.348624611155691</v>
      </c>
      <c r="R30" s="25">
        <v>0</v>
      </c>
      <c r="S30" s="25">
        <v>0</v>
      </c>
      <c r="T30" s="25">
        <v>0</v>
      </c>
      <c r="U30" s="88">
        <v>2886.4440382829912</v>
      </c>
      <c r="V30" s="88">
        <v>1093.8423292297007</v>
      </c>
      <c r="W30" s="89">
        <v>11647.194342074112</v>
      </c>
    </row>
    <row r="31" spans="1:25">
      <c r="A31" s="114">
        <v>55</v>
      </c>
      <c r="B31" s="103">
        <v>25.332181158065701</v>
      </c>
      <c r="C31" s="104">
        <v>0</v>
      </c>
      <c r="D31" s="104">
        <v>0</v>
      </c>
      <c r="E31" s="104">
        <v>0</v>
      </c>
      <c r="F31" s="104">
        <v>53.604564519838519</v>
      </c>
      <c r="G31" s="104">
        <v>347.98655601302511</v>
      </c>
      <c r="H31" s="104">
        <v>33.451451506052507</v>
      </c>
      <c r="I31" s="104">
        <v>0</v>
      </c>
      <c r="J31" s="104">
        <v>0</v>
      </c>
      <c r="K31" s="115">
        <v>27797.292003350332</v>
      </c>
      <c r="L31" s="115">
        <v>9353.9068851998745</v>
      </c>
      <c r="M31" s="116">
        <v>0</v>
      </c>
      <c r="N31" s="116">
        <v>0</v>
      </c>
      <c r="O31" s="116">
        <v>0</v>
      </c>
      <c r="P31" s="116">
        <v>28.030473906742102</v>
      </c>
      <c r="Q31" s="116">
        <v>29.1667970607824</v>
      </c>
      <c r="R31" s="116">
        <v>1.4012302478401406</v>
      </c>
      <c r="S31" s="116">
        <v>0</v>
      </c>
      <c r="T31" s="116">
        <v>0</v>
      </c>
      <c r="U31" s="115">
        <v>3192.3333052929643</v>
      </c>
      <c r="V31" s="115">
        <v>1074.233723221445</v>
      </c>
      <c r="W31" s="106">
        <v>13207.527570285367</v>
      </c>
    </row>
    <row r="32" spans="1:25">
      <c r="A32" s="87">
        <v>61</v>
      </c>
      <c r="B32" s="23">
        <v>26.9518597412109</v>
      </c>
      <c r="C32" s="24">
        <v>0</v>
      </c>
      <c r="D32" s="24">
        <v>0</v>
      </c>
      <c r="E32" s="24">
        <v>0</v>
      </c>
      <c r="F32" s="24">
        <v>2.4843112323531757</v>
      </c>
      <c r="G32" s="24">
        <v>325.76358477269503</v>
      </c>
      <c r="H32" s="24">
        <v>138.56012433216506</v>
      </c>
      <c r="I32" s="24">
        <v>0</v>
      </c>
      <c r="J32" s="24">
        <v>0</v>
      </c>
      <c r="K32" s="88">
        <v>31849.660270488101</v>
      </c>
      <c r="L32" s="88">
        <v>9516.8741599909517</v>
      </c>
      <c r="M32" s="25">
        <v>0</v>
      </c>
      <c r="N32" s="25">
        <v>0</v>
      </c>
      <c r="O32" s="25">
        <v>0</v>
      </c>
      <c r="P32" s="25">
        <v>2.0704977149345072</v>
      </c>
      <c r="Q32" s="25">
        <v>47.500285455148372</v>
      </c>
      <c r="R32" s="25">
        <v>7.8568110461687715</v>
      </c>
      <c r="S32" s="25">
        <v>0</v>
      </c>
      <c r="T32" s="25">
        <v>0</v>
      </c>
      <c r="U32" s="88">
        <v>3455.9920450220052</v>
      </c>
      <c r="V32" s="88">
        <v>1032.6716552414946</v>
      </c>
      <c r="W32" s="89">
        <v>14444.728568297889</v>
      </c>
    </row>
    <row r="33" spans="1:25">
      <c r="A33" s="114">
        <v>67</v>
      </c>
      <c r="B33" s="103">
        <v>28.3892831459045</v>
      </c>
      <c r="C33" s="104">
        <v>0</v>
      </c>
      <c r="D33" s="104">
        <v>0</v>
      </c>
      <c r="E33" s="104">
        <v>0</v>
      </c>
      <c r="F33" s="104">
        <v>0</v>
      </c>
      <c r="G33" s="104">
        <v>206.56215539738798</v>
      </c>
      <c r="H33" s="104">
        <v>289.10630401351978</v>
      </c>
      <c r="I33" s="104">
        <v>0</v>
      </c>
      <c r="J33" s="104">
        <v>0</v>
      </c>
      <c r="K33" s="115">
        <v>35504.538274608545</v>
      </c>
      <c r="L33" s="115">
        <v>9420.4654499284206</v>
      </c>
      <c r="M33" s="116">
        <v>0</v>
      </c>
      <c r="N33" s="116">
        <v>0</v>
      </c>
      <c r="O33" s="116">
        <v>0</v>
      </c>
      <c r="P33" s="116">
        <v>0</v>
      </c>
      <c r="Q33" s="116">
        <v>43.201812534129694</v>
      </c>
      <c r="R33" s="116">
        <v>12.867720432037759</v>
      </c>
      <c r="S33" s="116">
        <v>0</v>
      </c>
      <c r="T33" s="116">
        <v>0</v>
      </c>
      <c r="U33" s="115">
        <v>3604.3323522852925</v>
      </c>
      <c r="V33" s="115">
        <v>956.34220425972296</v>
      </c>
      <c r="W33" s="106">
        <v>15380.991513476853</v>
      </c>
    </row>
    <row r="34" spans="1:25">
      <c r="A34" s="87">
        <v>73</v>
      </c>
      <c r="B34" s="23">
        <v>29.694760316848701</v>
      </c>
      <c r="C34" s="24">
        <v>0</v>
      </c>
      <c r="D34" s="24">
        <v>0</v>
      </c>
      <c r="E34" s="24">
        <v>0</v>
      </c>
      <c r="F34" s="24">
        <v>0</v>
      </c>
      <c r="G34" s="24">
        <v>50.445093317690585</v>
      </c>
      <c r="H34" s="24">
        <v>429.78839625004929</v>
      </c>
      <c r="I34" s="24">
        <v>42.315868024236245</v>
      </c>
      <c r="J34" s="24">
        <v>0</v>
      </c>
      <c r="K34" s="88">
        <v>38781.14215428946</v>
      </c>
      <c r="L34" s="88">
        <v>9137.0932425642859</v>
      </c>
      <c r="M34" s="25">
        <v>0</v>
      </c>
      <c r="N34" s="25">
        <v>0</v>
      </c>
      <c r="O34" s="25">
        <v>0</v>
      </c>
      <c r="P34" s="25">
        <v>0</v>
      </c>
      <c r="Q34" s="25">
        <v>22.374932826700142</v>
      </c>
      <c r="R34" s="25">
        <v>31.370754974908277</v>
      </c>
      <c r="S34" s="25">
        <v>0.87668235065669731</v>
      </c>
      <c r="T34" s="25">
        <v>0</v>
      </c>
      <c r="U34" s="88">
        <v>3666.6979644224562</v>
      </c>
      <c r="V34" s="88">
        <v>863.89825910640411</v>
      </c>
      <c r="W34" s="89">
        <v>16053.961510372441</v>
      </c>
    </row>
    <row r="35" spans="1:25">
      <c r="A35" s="114">
        <v>79</v>
      </c>
      <c r="B35" s="103">
        <v>30.891143154144199</v>
      </c>
      <c r="C35" s="104">
        <v>0</v>
      </c>
      <c r="D35" s="104">
        <v>0</v>
      </c>
      <c r="E35" s="104">
        <v>0</v>
      </c>
      <c r="F35" s="104">
        <v>0</v>
      </c>
      <c r="G35" s="104">
        <v>0.69481707374929713</v>
      </c>
      <c r="H35" s="104">
        <v>381.96912175050318</v>
      </c>
      <c r="I35" s="104">
        <v>165.22049509498737</v>
      </c>
      <c r="J35" s="104">
        <v>0</v>
      </c>
      <c r="K35" s="115">
        <v>41671.237703058301</v>
      </c>
      <c r="L35" s="115">
        <v>8718.1197623952376</v>
      </c>
      <c r="M35" s="116">
        <v>0</v>
      </c>
      <c r="N35" s="116">
        <v>0</v>
      </c>
      <c r="O35" s="116">
        <v>0</v>
      </c>
      <c r="P35" s="116">
        <v>0</v>
      </c>
      <c r="Q35" s="116">
        <v>0.55490383198809123</v>
      </c>
      <c r="R35" s="116">
        <v>46.492576748432903</v>
      </c>
      <c r="S35" s="116">
        <v>6.6894444088697673</v>
      </c>
      <c r="T35" s="116">
        <v>0</v>
      </c>
      <c r="U35" s="115">
        <v>3724.8020790968208</v>
      </c>
      <c r="V35" s="115">
        <v>779.27300475650645</v>
      </c>
      <c r="W35" s="106">
        <v>16498.886289309798</v>
      </c>
    </row>
    <row r="36" spans="1:25">
      <c r="A36" s="87">
        <v>85</v>
      </c>
      <c r="B36" s="23">
        <v>31.992579236984199</v>
      </c>
      <c r="C36" s="24">
        <v>0</v>
      </c>
      <c r="D36" s="24">
        <v>0</v>
      </c>
      <c r="E36" s="24">
        <v>0</v>
      </c>
      <c r="F36" s="24">
        <v>0</v>
      </c>
      <c r="G36" s="24">
        <v>0</v>
      </c>
      <c r="H36" s="24">
        <v>238.89650265162078</v>
      </c>
      <c r="I36" s="24">
        <v>332.60344105806712</v>
      </c>
      <c r="J36" s="24">
        <v>0</v>
      </c>
      <c r="K36" s="88">
        <v>44102.221087982784</v>
      </c>
      <c r="L36" s="88">
        <v>8193.0548495038856</v>
      </c>
      <c r="M36" s="25">
        <v>0</v>
      </c>
      <c r="N36" s="25">
        <v>0</v>
      </c>
      <c r="O36" s="25">
        <v>0</v>
      </c>
      <c r="P36" s="25">
        <v>0</v>
      </c>
      <c r="Q36" s="25">
        <v>0</v>
      </c>
      <c r="R36" s="25">
        <v>42.400177409474892</v>
      </c>
      <c r="S36" s="25">
        <v>9.9968600239028333</v>
      </c>
      <c r="T36" s="25">
        <v>0</v>
      </c>
      <c r="U36" s="88">
        <v>3693.4254789982401</v>
      </c>
      <c r="V36" s="88">
        <v>686.14316434582656</v>
      </c>
      <c r="W36" s="89">
        <v>16753.094381174953</v>
      </c>
    </row>
    <row r="37" spans="1:25">
      <c r="A37" s="114">
        <v>91</v>
      </c>
      <c r="B37" s="108">
        <v>33.022307525634702</v>
      </c>
      <c r="C37" s="109">
        <v>0</v>
      </c>
      <c r="D37" s="109">
        <v>0</v>
      </c>
      <c r="E37" s="109">
        <v>0</v>
      </c>
      <c r="F37" s="109">
        <v>0</v>
      </c>
      <c r="G37" s="109">
        <v>0</v>
      </c>
      <c r="H37" s="109">
        <v>46.399472490444928</v>
      </c>
      <c r="I37" s="109">
        <v>503.85827385633507</v>
      </c>
      <c r="J37" s="109">
        <v>44.27050552986465</v>
      </c>
      <c r="K37" s="117">
        <v>46138.189798212748</v>
      </c>
      <c r="L37" s="117">
        <v>7611.0560622982339</v>
      </c>
      <c r="M37" s="118">
        <v>0</v>
      </c>
      <c r="N37" s="118">
        <v>0</v>
      </c>
      <c r="O37" s="118">
        <v>0</v>
      </c>
      <c r="P37" s="118">
        <v>0</v>
      </c>
      <c r="Q37" s="118">
        <v>0</v>
      </c>
      <c r="R37" s="118">
        <v>46.399472490444928</v>
      </c>
      <c r="S37" s="118">
        <v>503.85827385633507</v>
      </c>
      <c r="T37" s="118">
        <v>44.27050552986465</v>
      </c>
      <c r="U37" s="117">
        <v>46138.189798212748</v>
      </c>
      <c r="V37" s="117">
        <v>7611.0560622982339</v>
      </c>
      <c r="W37" s="111">
        <v>16857.238758315129</v>
      </c>
    </row>
    <row r="38" spans="1:25" s="10" customFormat="1">
      <c r="A38" s="26" t="s">
        <v>13</v>
      </c>
      <c r="B38" s="27" t="s">
        <v>27</v>
      </c>
      <c r="C38" s="27" t="s">
        <v>27</v>
      </c>
      <c r="D38" s="27" t="s">
        <v>27</v>
      </c>
      <c r="E38" s="27" t="s">
        <v>27</v>
      </c>
      <c r="F38" s="27" t="s">
        <v>27</v>
      </c>
      <c r="G38" s="27" t="s">
        <v>27</v>
      </c>
      <c r="H38" s="27" t="s">
        <v>27</v>
      </c>
      <c r="I38" s="27" t="s">
        <v>27</v>
      </c>
      <c r="J38" s="27" t="s">
        <v>27</v>
      </c>
      <c r="K38" s="27" t="s">
        <v>27</v>
      </c>
      <c r="L38" s="27" t="s">
        <v>27</v>
      </c>
      <c r="M38" s="26">
        <v>29.604155630749034</v>
      </c>
      <c r="N38" s="26">
        <v>85.371576096672072</v>
      </c>
      <c r="O38" s="26">
        <v>47.29590330838036</v>
      </c>
      <c r="P38" s="26">
        <v>102.19671513970144</v>
      </c>
      <c r="Q38" s="26">
        <v>162.54047189547455</v>
      </c>
      <c r="R38" s="26">
        <v>188.78874334930768</v>
      </c>
      <c r="S38" s="26">
        <v>521.42126063976434</v>
      </c>
      <c r="T38" s="26">
        <v>44.27050552986465</v>
      </c>
      <c r="U38" s="27" t="s">
        <v>27</v>
      </c>
      <c r="V38" s="90">
        <v>16857.238758315129</v>
      </c>
      <c r="W38" s="28" t="s">
        <v>27</v>
      </c>
    </row>
    <row r="39" spans="1:25">
      <c r="A39" s="17"/>
      <c r="V39" s="9"/>
    </row>
    <row r="40" spans="1:25">
      <c r="H40" s="15"/>
      <c r="I40" s="15"/>
      <c r="J40" s="15"/>
      <c r="W40" s="15" t="s">
        <v>77</v>
      </c>
    </row>
    <row r="41" spans="1:25">
      <c r="V41" s="9"/>
      <c r="W41" s="15" t="s">
        <v>78</v>
      </c>
      <c r="X41" s="9"/>
      <c r="Y41" s="9"/>
    </row>
    <row r="42" spans="1:25">
      <c r="A42" s="8"/>
      <c r="B42" s="8"/>
      <c r="C42" s="8"/>
      <c r="D42" s="8"/>
      <c r="E42" s="8"/>
      <c r="F42" s="8"/>
      <c r="G42" s="8"/>
      <c r="H42" s="8"/>
      <c r="I42" s="8"/>
      <c r="J42" s="8"/>
      <c r="V42" s="9"/>
      <c r="W42" s="15"/>
      <c r="X42" s="9"/>
      <c r="Y42" s="15"/>
    </row>
    <row r="43" spans="1:25">
      <c r="V43" s="9"/>
      <c r="W43" s="9"/>
      <c r="X43" s="9"/>
      <c r="Y43" s="9"/>
    </row>
    <row r="44" spans="1:25"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spans="1:25">
      <c r="V45" s="9"/>
      <c r="W45" s="9"/>
      <c r="X45" s="9"/>
      <c r="Y45" s="9"/>
    </row>
    <row r="46" spans="1:25">
      <c r="V46" s="9"/>
      <c r="W46" s="9"/>
      <c r="X46" s="9"/>
      <c r="Y46" s="9"/>
    </row>
  </sheetData>
  <mergeCells count="17">
    <mergeCell ref="B23:B24"/>
    <mergeCell ref="D1:T1"/>
    <mergeCell ref="A23:A24"/>
    <mergeCell ref="C23:J23"/>
    <mergeCell ref="A6:A7"/>
    <mergeCell ref="B6:B7"/>
    <mergeCell ref="C6:F6"/>
    <mergeCell ref="G6:J6"/>
    <mergeCell ref="K6:N6"/>
    <mergeCell ref="K23:L23"/>
    <mergeCell ref="W23:W24"/>
    <mergeCell ref="V6:V7"/>
    <mergeCell ref="W6:W7"/>
    <mergeCell ref="U6:U7"/>
    <mergeCell ref="M23:T23"/>
    <mergeCell ref="O6:T6"/>
    <mergeCell ref="U23:V23"/>
  </mergeCells>
  <pageMargins left="0.70866141732283472" right="0.70866141732283472" top="0.74803149606299213" bottom="0.74803149606299213" header="0.31496062992125984" footer="0.31496062992125984"/>
  <pageSetup paperSize="9" scale="7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46"/>
  <sheetViews>
    <sheetView workbookViewId="0">
      <selection activeCell="X20" sqref="X20"/>
    </sheetView>
  </sheetViews>
  <sheetFormatPr baseColWidth="10" defaultRowHeight="15"/>
  <cols>
    <col min="1" max="21" width="6.7109375" style="9" customWidth="1"/>
    <col min="22" max="23" width="6.7109375" style="17" customWidth="1"/>
    <col min="24" max="16384" width="11.42578125" style="17"/>
  </cols>
  <sheetData>
    <row r="1" spans="1:27" ht="30.75" customHeight="1">
      <c r="D1" s="151" t="s">
        <v>63</v>
      </c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</row>
    <row r="2" spans="1:27">
      <c r="A2" s="12"/>
      <c r="B2" s="14"/>
      <c r="C2" s="13"/>
      <c r="D2" s="13"/>
      <c r="E2" s="13"/>
      <c r="F2" s="13"/>
      <c r="G2" s="13"/>
      <c r="H2" s="13"/>
      <c r="I2" s="13"/>
      <c r="J2" s="13"/>
      <c r="K2" s="14"/>
      <c r="L2" s="13"/>
      <c r="M2" s="13"/>
      <c r="U2" s="15"/>
      <c r="V2" s="15"/>
      <c r="W2" s="15"/>
    </row>
    <row r="3" spans="1:27">
      <c r="A3" s="12" t="s">
        <v>85</v>
      </c>
      <c r="B3" s="12"/>
      <c r="C3" s="12"/>
      <c r="D3" s="14"/>
      <c r="E3" s="14" t="s">
        <v>80</v>
      </c>
      <c r="F3" s="14"/>
      <c r="G3" s="13"/>
      <c r="H3" s="13"/>
      <c r="I3" s="14"/>
      <c r="J3" s="13"/>
      <c r="K3" s="14" t="s">
        <v>86</v>
      </c>
      <c r="L3" s="14"/>
      <c r="M3" s="14"/>
      <c r="N3" s="13"/>
      <c r="R3" s="14" t="s">
        <v>83</v>
      </c>
      <c r="V3" s="9"/>
      <c r="W3" s="9"/>
    </row>
    <row r="4" spans="1:27">
      <c r="A4" s="13"/>
      <c r="B4" s="14"/>
      <c r="C4" s="13"/>
      <c r="D4" s="14"/>
      <c r="E4" s="14" t="s">
        <v>36</v>
      </c>
      <c r="F4" s="14"/>
      <c r="G4" s="13"/>
      <c r="H4" s="13"/>
      <c r="I4" s="14"/>
      <c r="J4" s="13"/>
      <c r="K4" s="14" t="s">
        <v>35</v>
      </c>
      <c r="L4" s="13"/>
      <c r="M4" s="13"/>
      <c r="N4" s="13"/>
      <c r="O4" s="8"/>
      <c r="P4" s="8"/>
      <c r="Q4" s="8"/>
      <c r="R4" s="14" t="s">
        <v>84</v>
      </c>
      <c r="S4" s="8"/>
      <c r="T4" s="8"/>
      <c r="U4" s="8"/>
      <c r="V4" s="8"/>
      <c r="W4" s="13"/>
    </row>
    <row r="5" spans="1:27">
      <c r="A5" s="12" t="s">
        <v>0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7">
      <c r="A6" s="185" t="s">
        <v>1</v>
      </c>
      <c r="B6" s="185" t="s">
        <v>2</v>
      </c>
      <c r="C6" s="198" t="s">
        <v>109</v>
      </c>
      <c r="D6" s="199"/>
      <c r="E6" s="199"/>
      <c r="F6" s="199"/>
      <c r="G6" s="199" t="s">
        <v>110</v>
      </c>
      <c r="H6" s="199"/>
      <c r="I6" s="199"/>
      <c r="J6" s="199"/>
      <c r="K6" s="199" t="s">
        <v>111</v>
      </c>
      <c r="L6" s="199"/>
      <c r="M6" s="199"/>
      <c r="N6" s="199"/>
      <c r="O6" s="195" t="s">
        <v>3</v>
      </c>
      <c r="P6" s="196"/>
      <c r="Q6" s="196"/>
      <c r="R6" s="196"/>
      <c r="S6" s="196"/>
      <c r="T6" s="197"/>
      <c r="U6" s="187" t="s">
        <v>14</v>
      </c>
      <c r="V6" s="193" t="s">
        <v>64</v>
      </c>
      <c r="W6" s="187" t="s">
        <v>31</v>
      </c>
    </row>
    <row r="7" spans="1:27">
      <c r="A7" s="186"/>
      <c r="B7" s="186"/>
      <c r="C7" s="101" t="s">
        <v>4</v>
      </c>
      <c r="D7" s="101" t="s">
        <v>5</v>
      </c>
      <c r="E7" s="101" t="s">
        <v>6</v>
      </c>
      <c r="F7" s="101" t="s">
        <v>7</v>
      </c>
      <c r="G7" s="101" t="s">
        <v>4</v>
      </c>
      <c r="H7" s="101" t="s">
        <v>5</v>
      </c>
      <c r="I7" s="101" t="s">
        <v>6</v>
      </c>
      <c r="J7" s="101" t="s">
        <v>7</v>
      </c>
      <c r="K7" s="101" t="s">
        <v>4</v>
      </c>
      <c r="L7" s="101" t="s">
        <v>5</v>
      </c>
      <c r="M7" s="101" t="s">
        <v>6</v>
      </c>
      <c r="N7" s="101" t="s">
        <v>7</v>
      </c>
      <c r="O7" s="99" t="s">
        <v>15</v>
      </c>
      <c r="P7" s="101" t="s">
        <v>8</v>
      </c>
      <c r="Q7" s="101" t="s">
        <v>9</v>
      </c>
      <c r="R7" s="101" t="s">
        <v>10</v>
      </c>
      <c r="S7" s="101" t="s">
        <v>11</v>
      </c>
      <c r="T7" s="101" t="s">
        <v>12</v>
      </c>
      <c r="U7" s="192"/>
      <c r="V7" s="194"/>
      <c r="W7" s="188"/>
    </row>
    <row r="8" spans="1:27" s="95" customFormat="1" ht="12" customHeight="1">
      <c r="A8" s="92" t="s">
        <v>65</v>
      </c>
      <c r="B8" s="92" t="s">
        <v>66</v>
      </c>
      <c r="C8" s="92" t="s">
        <v>67</v>
      </c>
      <c r="D8" s="92" t="s">
        <v>68</v>
      </c>
      <c r="E8" s="92" t="s">
        <v>69</v>
      </c>
      <c r="F8" s="92" t="s">
        <v>70</v>
      </c>
      <c r="G8" s="92" t="s">
        <v>67</v>
      </c>
      <c r="H8" s="92" t="s">
        <v>68</v>
      </c>
      <c r="I8" s="92" t="s">
        <v>69</v>
      </c>
      <c r="J8" s="92" t="s">
        <v>70</v>
      </c>
      <c r="K8" s="92" t="s">
        <v>67</v>
      </c>
      <c r="L8" s="92" t="s">
        <v>68</v>
      </c>
      <c r="M8" s="92" t="s">
        <v>69</v>
      </c>
      <c r="N8" s="92" t="s">
        <v>70</v>
      </c>
      <c r="O8" s="92" t="s">
        <v>71</v>
      </c>
      <c r="P8" s="92" t="s">
        <v>72</v>
      </c>
      <c r="Q8" s="92" t="s">
        <v>72</v>
      </c>
      <c r="R8" s="92" t="s">
        <v>73</v>
      </c>
      <c r="S8" s="92" t="s">
        <v>73</v>
      </c>
      <c r="T8" s="92" t="s">
        <v>70</v>
      </c>
      <c r="U8" s="93"/>
      <c r="V8" s="94" t="s">
        <v>74</v>
      </c>
      <c r="W8" s="92" t="s">
        <v>66</v>
      </c>
    </row>
    <row r="9" spans="1:27">
      <c r="A9" s="22">
        <v>29</v>
      </c>
      <c r="B9" s="19">
        <v>13.340302353858901</v>
      </c>
      <c r="C9" s="18">
        <v>2127.62</v>
      </c>
      <c r="D9" s="18">
        <v>42.918770721202435</v>
      </c>
      <c r="E9" s="19">
        <v>31.187369730235442</v>
      </c>
      <c r="F9" s="18">
        <v>182.78776208120621</v>
      </c>
      <c r="G9" s="18">
        <v>845.75</v>
      </c>
      <c r="H9" s="18">
        <v>38.235504224879463</v>
      </c>
      <c r="I9" s="19">
        <v>9.8393358766544416</v>
      </c>
      <c r="J9" s="18">
        <v>53.990070226961791</v>
      </c>
      <c r="K9" s="18">
        <v>1281.8699999999999</v>
      </c>
      <c r="L9" s="18">
        <v>45.746922306279956</v>
      </c>
      <c r="M9" s="19">
        <v>21.348033853581001</v>
      </c>
      <c r="N9" s="18">
        <v>128.79769185424442</v>
      </c>
      <c r="O9" s="19">
        <v>1.4094245736544704</v>
      </c>
      <c r="P9" s="20">
        <v>1.4285954226170248</v>
      </c>
      <c r="Q9" s="20">
        <v>1.0754265424219118</v>
      </c>
      <c r="R9" s="19">
        <v>14.453830469242945</v>
      </c>
      <c r="S9" s="19">
        <v>6.3030262786622835</v>
      </c>
      <c r="T9" s="91">
        <v>182.78776208120621</v>
      </c>
      <c r="U9" s="18">
        <v>91.612274134989278</v>
      </c>
      <c r="V9" s="19">
        <v>39.750989368402252</v>
      </c>
      <c r="W9" s="23">
        <v>3.0013226953762073</v>
      </c>
      <c r="Y9" s="16"/>
      <c r="Z9" s="16"/>
      <c r="AA9" s="16"/>
    </row>
    <row r="10" spans="1:27">
      <c r="A10" s="102">
        <v>35</v>
      </c>
      <c r="B10" s="103">
        <v>15.786579421997001</v>
      </c>
      <c r="C10" s="104">
        <v>1279.71</v>
      </c>
      <c r="D10" s="104">
        <v>54.203469748206778</v>
      </c>
      <c r="E10" s="103">
        <v>29.91960638928315</v>
      </c>
      <c r="F10" s="104">
        <v>215.52067466970209</v>
      </c>
      <c r="G10" s="104">
        <v>330.48</v>
      </c>
      <c r="H10" s="104">
        <v>44.858564860390295</v>
      </c>
      <c r="I10" s="103">
        <v>5.2920759513817792</v>
      </c>
      <c r="J10" s="104">
        <v>35.145390877095565</v>
      </c>
      <c r="K10" s="104">
        <v>949.23</v>
      </c>
      <c r="L10" s="104">
        <v>57.099149121415834</v>
      </c>
      <c r="M10" s="103">
        <v>24.62753043790137</v>
      </c>
      <c r="N10" s="104">
        <v>180.37528379260652</v>
      </c>
      <c r="O10" s="103">
        <v>1.4051850786928288</v>
      </c>
      <c r="P10" s="105">
        <v>1.2918975111896398</v>
      </c>
      <c r="Q10" s="105">
        <v>1.1359697790267884</v>
      </c>
      <c r="R10" s="103">
        <v>14.6700510586116</v>
      </c>
      <c r="S10" s="103">
        <v>7.7003069970475391</v>
      </c>
      <c r="T10" s="106">
        <v>269.51074489666388</v>
      </c>
      <c r="U10" s="104">
        <v>86.857690001647128</v>
      </c>
      <c r="V10" s="103">
        <v>25.824600886138263</v>
      </c>
      <c r="W10" s="103">
        <v>3.4877789837504753</v>
      </c>
    </row>
    <row r="11" spans="1:27">
      <c r="A11" s="100">
        <v>41</v>
      </c>
      <c r="B11" s="23">
        <v>18.000024499893101</v>
      </c>
      <c r="C11" s="24">
        <v>947.52</v>
      </c>
      <c r="D11" s="24">
        <v>65.530259593572808</v>
      </c>
      <c r="E11" s="23">
        <v>32.37891550503921</v>
      </c>
      <c r="F11" s="24">
        <v>268.39559014427613</v>
      </c>
      <c r="G11" s="24">
        <v>189.17999999999995</v>
      </c>
      <c r="H11" s="24">
        <v>55.659926547017925</v>
      </c>
      <c r="I11" s="23">
        <v>4.6639148717685615</v>
      </c>
      <c r="J11" s="24">
        <v>36.899711508175244</v>
      </c>
      <c r="K11" s="24">
        <v>758.34</v>
      </c>
      <c r="L11" s="24">
        <v>67.768893747932211</v>
      </c>
      <c r="M11" s="23">
        <v>27.715000633270648</v>
      </c>
      <c r="N11" s="24">
        <v>231.49587863610088</v>
      </c>
      <c r="O11" s="23">
        <v>1.377279214894287</v>
      </c>
      <c r="P11" s="21">
        <v>1.1827758285361654</v>
      </c>
      <c r="Q11" s="21">
        <v>1.1587884715384251</v>
      </c>
      <c r="R11" s="23">
        <v>14.572057904482355</v>
      </c>
      <c r="S11" s="23">
        <v>8.7202695426422796</v>
      </c>
      <c r="T11" s="89">
        <v>357.53105124833348</v>
      </c>
      <c r="U11" s="24">
        <v>83.443511625901209</v>
      </c>
      <c r="V11" s="23">
        <v>19.965805471124618</v>
      </c>
      <c r="W11" s="23">
        <v>3.9021386988855533</v>
      </c>
    </row>
    <row r="12" spans="1:27">
      <c r="A12" s="102">
        <v>47</v>
      </c>
      <c r="B12" s="103">
        <v>19.9695176887512</v>
      </c>
      <c r="C12" s="104">
        <v>756.72</v>
      </c>
      <c r="D12" s="104">
        <v>76.032569037297932</v>
      </c>
      <c r="E12" s="103">
        <v>34.81165560448764</v>
      </c>
      <c r="F12" s="104">
        <v>318.92822606299501</v>
      </c>
      <c r="G12" s="104">
        <v>133.28999999999996</v>
      </c>
      <c r="H12" s="104">
        <v>65.777854526088547</v>
      </c>
      <c r="I12" s="103">
        <v>4.5893070139815855</v>
      </c>
      <c r="J12" s="104">
        <v>40.858935118101897</v>
      </c>
      <c r="K12" s="104">
        <v>623.43000000000006</v>
      </c>
      <c r="L12" s="104">
        <v>78.050409994074244</v>
      </c>
      <c r="M12" s="103">
        <v>30.222348590506055</v>
      </c>
      <c r="N12" s="104">
        <v>278.06929094489311</v>
      </c>
      <c r="O12" s="103">
        <v>1.3539672022069194</v>
      </c>
      <c r="P12" s="105">
        <v>1.0907140119800101</v>
      </c>
      <c r="Q12" s="105">
        <v>1.1618506873253707</v>
      </c>
      <c r="R12" s="103">
        <v>14.249602727284801</v>
      </c>
      <c r="S12" s="103">
        <v>9.4673063547920773</v>
      </c>
      <c r="T12" s="106">
        <v>444.96339867522761</v>
      </c>
      <c r="U12" s="104">
        <v>80.378937242578559</v>
      </c>
      <c r="V12" s="103">
        <v>17.614176974310176</v>
      </c>
      <c r="W12" s="103">
        <v>4.3036885590064351</v>
      </c>
    </row>
    <row r="13" spans="1:27">
      <c r="A13" s="100">
        <v>53</v>
      </c>
      <c r="B13" s="23">
        <v>21.7211628818511</v>
      </c>
      <c r="C13" s="24">
        <v>622.16999999999996</v>
      </c>
      <c r="D13" s="24">
        <v>86.174213207315759</v>
      </c>
      <c r="E13" s="23">
        <v>36.766632662386115</v>
      </c>
      <c r="F13" s="24">
        <v>363.56690730860191</v>
      </c>
      <c r="G13" s="24">
        <v>112.05000000000001</v>
      </c>
      <c r="H13" s="24">
        <v>76.596287117184957</v>
      </c>
      <c r="I13" s="23">
        <v>5.2313940448668959</v>
      </c>
      <c r="J13" s="24">
        <v>50.921188926371087</v>
      </c>
      <c r="K13" s="24">
        <v>510.11999999999995</v>
      </c>
      <c r="L13" s="24">
        <v>88.138735852209848</v>
      </c>
      <c r="M13" s="23">
        <v>31.535238617519219</v>
      </c>
      <c r="N13" s="24">
        <v>312.64571838223083</v>
      </c>
      <c r="O13" s="23">
        <v>1.3512119786897945</v>
      </c>
      <c r="P13" s="21">
        <v>1.0014205546106549</v>
      </c>
      <c r="Q13" s="21">
        <v>1.1537974787957073</v>
      </c>
      <c r="R13" s="23">
        <v>13.635426545624995</v>
      </c>
      <c r="S13" s="23">
        <v>10.008698396961066</v>
      </c>
      <c r="T13" s="89">
        <v>530.46101503893647</v>
      </c>
      <c r="U13" s="24">
        <v>77.422310494075234</v>
      </c>
      <c r="V13" s="23">
        <v>18.009547229856796</v>
      </c>
      <c r="W13" s="23">
        <v>4.7577159375184008</v>
      </c>
      <c r="Y13" s="16"/>
      <c r="AA13" s="16"/>
    </row>
    <row r="14" spans="1:27">
      <c r="A14" s="102">
        <v>59</v>
      </c>
      <c r="B14" s="103">
        <v>23.284958644866901</v>
      </c>
      <c r="C14" s="104">
        <v>509.31</v>
      </c>
      <c r="D14" s="104">
        <v>96.246007724348615</v>
      </c>
      <c r="E14" s="103">
        <v>37.543761945183149</v>
      </c>
      <c r="F14" s="104">
        <v>394.45827765598079</v>
      </c>
      <c r="G14" s="104">
        <v>80.550000000000011</v>
      </c>
      <c r="H14" s="104">
        <v>86.799273586514772</v>
      </c>
      <c r="I14" s="103">
        <v>4.8293408882960094</v>
      </c>
      <c r="J14" s="104">
        <v>50.334758455335304</v>
      </c>
      <c r="K14" s="104">
        <v>428.76</v>
      </c>
      <c r="L14" s="104">
        <v>97.919101646607515</v>
      </c>
      <c r="M14" s="103">
        <v>32.71442105688714</v>
      </c>
      <c r="N14" s="104">
        <v>344.12351920064549</v>
      </c>
      <c r="O14" s="103">
        <v>1.3488518785244115</v>
      </c>
      <c r="P14" s="105">
        <v>0.9291489946990209</v>
      </c>
      <c r="Q14" s="105">
        <v>1.1383015204040072</v>
      </c>
      <c r="R14" s="103">
        <v>13.067921658883952</v>
      </c>
      <c r="S14" s="103">
        <v>10.377518208689599</v>
      </c>
      <c r="T14" s="106">
        <v>612.27357431268638</v>
      </c>
      <c r="U14" s="104">
        <v>74.706419674746286</v>
      </c>
      <c r="V14" s="103">
        <v>15.815515108676447</v>
      </c>
      <c r="W14" s="103">
        <v>5.1895243375986118</v>
      </c>
      <c r="Y14" s="16"/>
    </row>
    <row r="15" spans="1:27">
      <c r="A15" s="100">
        <v>65</v>
      </c>
      <c r="B15" s="23">
        <v>24.689132305145201</v>
      </c>
      <c r="C15" s="24">
        <v>428.13</v>
      </c>
      <c r="D15" s="24">
        <v>106.01221291775398</v>
      </c>
      <c r="E15" s="23">
        <v>38.289315025081265</v>
      </c>
      <c r="F15" s="24">
        <v>422.5310491539492</v>
      </c>
      <c r="G15" s="24">
        <v>60.479999999999961</v>
      </c>
      <c r="H15" s="24">
        <v>96.534253320696479</v>
      </c>
      <c r="I15" s="23">
        <v>4.4850243155956235</v>
      </c>
      <c r="J15" s="24">
        <v>49.356813243013221</v>
      </c>
      <c r="K15" s="24">
        <v>367.65000000000003</v>
      </c>
      <c r="L15" s="24">
        <v>107.49136076930237</v>
      </c>
      <c r="M15" s="23">
        <v>33.804290709485642</v>
      </c>
      <c r="N15" s="24">
        <v>373.17423591093598</v>
      </c>
      <c r="O15" s="23">
        <v>1.3448529380357546</v>
      </c>
      <c r="P15" s="21">
        <v>0.87124140098110436</v>
      </c>
      <c r="Q15" s="21">
        <v>1.1189951334158545</v>
      </c>
      <c r="R15" s="23">
        <v>12.57531932514045</v>
      </c>
      <c r="S15" s="23">
        <v>10.625863142553694</v>
      </c>
      <c r="T15" s="89">
        <v>690.68110426599014</v>
      </c>
      <c r="U15" s="24">
        <v>72.15760980067644</v>
      </c>
      <c r="V15" s="23">
        <v>14.126550346857254</v>
      </c>
      <c r="W15" s="23">
        <v>5.6042486903320574</v>
      </c>
      <c r="Y15" s="16"/>
    </row>
    <row r="16" spans="1:27">
      <c r="A16" s="102">
        <v>71</v>
      </c>
      <c r="B16" s="103">
        <v>25.960677707672101</v>
      </c>
      <c r="C16" s="104">
        <v>367.29</v>
      </c>
      <c r="D16" s="104">
        <v>115.5604783975169</v>
      </c>
      <c r="E16" s="103">
        <v>39.031739115372268</v>
      </c>
      <c r="F16" s="104">
        <v>448.62615186177868</v>
      </c>
      <c r="G16" s="104">
        <v>47.069999999999993</v>
      </c>
      <c r="H16" s="104">
        <v>106.25422654112955</v>
      </c>
      <c r="I16" s="103">
        <v>4.2288936437855682</v>
      </c>
      <c r="J16" s="104">
        <v>48.555394211445275</v>
      </c>
      <c r="K16" s="104">
        <v>320.22000000000003</v>
      </c>
      <c r="L16" s="104">
        <v>116.86597374265642</v>
      </c>
      <c r="M16" s="103">
        <v>34.8028454715867</v>
      </c>
      <c r="N16" s="104">
        <v>400.07075765033341</v>
      </c>
      <c r="O16" s="103">
        <v>1.3425773537828789</v>
      </c>
      <c r="P16" s="105">
        <v>0.82347652536066107</v>
      </c>
      <c r="Q16" s="105">
        <v>1.0980581982805235</v>
      </c>
      <c r="R16" s="103">
        <v>12.149772753012741</v>
      </c>
      <c r="S16" s="103">
        <v>10.790605918546941</v>
      </c>
      <c r="T16" s="106">
        <v>766.13302021683285</v>
      </c>
      <c r="U16" s="104">
        <v>69.787528188682799</v>
      </c>
      <c r="V16" s="103">
        <v>12.815486400392057</v>
      </c>
      <c r="W16" s="103">
        <v>6.0049646833905763</v>
      </c>
      <c r="Y16" s="16"/>
    </row>
    <row r="17" spans="1:25">
      <c r="A17" s="100">
        <v>77</v>
      </c>
      <c r="B17" s="23">
        <v>27.134972211837699</v>
      </c>
      <c r="C17" s="24">
        <v>320.04000000000002</v>
      </c>
      <c r="D17" s="24">
        <v>124.9214378653537</v>
      </c>
      <c r="E17" s="23">
        <v>39.743704623750666</v>
      </c>
      <c r="F17" s="24">
        <v>472.96939416840985</v>
      </c>
      <c r="G17" s="24">
        <v>37.710000000000036</v>
      </c>
      <c r="H17" s="24">
        <v>115.42742169288844</v>
      </c>
      <c r="I17" s="23">
        <v>3.9982013200251956</v>
      </c>
      <c r="J17" s="24">
        <v>47.701106240366641</v>
      </c>
      <c r="K17" s="24">
        <v>282.33</v>
      </c>
      <c r="L17" s="24">
        <v>126.13543989756255</v>
      </c>
      <c r="M17" s="23">
        <v>35.745503303725471</v>
      </c>
      <c r="N17" s="24">
        <v>425.26828792804321</v>
      </c>
      <c r="O17" s="23">
        <v>1.3418902179737699</v>
      </c>
      <c r="P17" s="21">
        <v>0.78482963254806037</v>
      </c>
      <c r="Q17" s="21">
        <v>1.0766622237672876</v>
      </c>
      <c r="R17" s="23">
        <v>11.799366967469703</v>
      </c>
      <c r="S17" s="23">
        <v>10.896515022531288</v>
      </c>
      <c r="T17" s="89">
        <v>839.03165673490923</v>
      </c>
      <c r="U17" s="24">
        <v>67.583725418727312</v>
      </c>
      <c r="V17" s="23">
        <v>11.782902137232856</v>
      </c>
      <c r="W17" s="23">
        <v>6.395230027815737</v>
      </c>
      <c r="Y17" s="16"/>
    </row>
    <row r="18" spans="1:25">
      <c r="A18" s="102">
        <v>83</v>
      </c>
      <c r="B18" s="103">
        <v>28.217890075683499</v>
      </c>
      <c r="C18" s="104">
        <v>282.33</v>
      </c>
      <c r="D18" s="104">
        <v>134.18678120540517</v>
      </c>
      <c r="E18" s="103">
        <v>40.454481099013833</v>
      </c>
      <c r="F18" s="104">
        <v>496.06448973286143</v>
      </c>
      <c r="G18" s="104">
        <v>30.689999999999969</v>
      </c>
      <c r="H18" s="104">
        <v>125.20368569316645</v>
      </c>
      <c r="I18" s="103">
        <v>3.8284347685365887</v>
      </c>
      <c r="J18" s="104">
        <v>47.073230719087519</v>
      </c>
      <c r="K18" s="104">
        <v>251.64000000000001</v>
      </c>
      <c r="L18" s="104">
        <v>135.24154203174737</v>
      </c>
      <c r="M18" s="103">
        <v>36.626046330477244</v>
      </c>
      <c r="N18" s="104">
        <v>448.99125901377391</v>
      </c>
      <c r="O18" s="103">
        <v>1.3448972331710725</v>
      </c>
      <c r="P18" s="105">
        <v>0.75018076161365954</v>
      </c>
      <c r="Q18" s="105">
        <v>1.0555658918719215</v>
      </c>
      <c r="R18" s="103">
        <v>11.478938131366808</v>
      </c>
      <c r="S18" s="103">
        <v>10.961781428189488</v>
      </c>
      <c r="T18" s="106">
        <v>909.82785853972746</v>
      </c>
      <c r="U18" s="104">
        <v>65.548732164530946</v>
      </c>
      <c r="V18" s="103">
        <v>10.870258208479429</v>
      </c>
      <c r="W18" s="103">
        <v>6.773994596751824</v>
      </c>
      <c r="Y18" s="16"/>
    </row>
    <row r="19" spans="1:25">
      <c r="A19" s="100">
        <v>89</v>
      </c>
      <c r="B19" s="23">
        <v>29.2401842746734</v>
      </c>
      <c r="C19" s="24">
        <v>251.64000000000001</v>
      </c>
      <c r="D19" s="24">
        <v>143.31092543077381</v>
      </c>
      <c r="E19" s="23">
        <v>41.127130900159202</v>
      </c>
      <c r="F19" s="24">
        <v>517.86488780197476</v>
      </c>
      <c r="G19" s="24">
        <v>25.379999999999995</v>
      </c>
      <c r="H19" s="24">
        <v>134.89492552487241</v>
      </c>
      <c r="I19" s="23">
        <v>3.6751323117559522</v>
      </c>
      <c r="J19" s="24">
        <v>46.505182682380564</v>
      </c>
      <c r="K19" s="24">
        <v>226.26000000000002</v>
      </c>
      <c r="L19" s="24">
        <v>144.224333216704</v>
      </c>
      <c r="M19" s="23">
        <v>37.451998588403249</v>
      </c>
      <c r="N19" s="24">
        <v>471.3597051195942</v>
      </c>
      <c r="O19" s="23">
        <v>1.3492716066137216</v>
      </c>
      <c r="P19" s="21">
        <v>0.72042184806993015</v>
      </c>
      <c r="Q19" s="21">
        <v>1.0349781302814771</v>
      </c>
      <c r="R19" s="23">
        <v>11.204290132987202</v>
      </c>
      <c r="S19" s="23">
        <v>10.996645925032903</v>
      </c>
      <c r="T19" s="89">
        <v>978.70148732792836</v>
      </c>
      <c r="U19" s="24">
        <v>63.692960860426069</v>
      </c>
      <c r="V19" s="23">
        <v>10.085836909871242</v>
      </c>
      <c r="W19" s="23">
        <v>7.1438247618130148</v>
      </c>
      <c r="Y19" s="16"/>
    </row>
    <row r="20" spans="1:25">
      <c r="A20" s="107">
        <v>95</v>
      </c>
      <c r="B20" s="108">
        <v>30.204393173217699</v>
      </c>
      <c r="C20" s="109">
        <v>226.26000000000002</v>
      </c>
      <c r="D20" s="109">
        <v>152.31996285638633</v>
      </c>
      <c r="E20" s="108">
        <v>41.77452967682283</v>
      </c>
      <c r="F20" s="109">
        <v>538.5854459175174</v>
      </c>
      <c r="G20" s="109">
        <v>226.26000000000002</v>
      </c>
      <c r="H20" s="109">
        <v>152.31996285638633</v>
      </c>
      <c r="I20" s="108">
        <v>41.77452967682283</v>
      </c>
      <c r="J20" s="109">
        <v>538.5854459175174</v>
      </c>
      <c r="K20" s="109" t="s">
        <v>27</v>
      </c>
      <c r="L20" s="109" t="s">
        <v>27</v>
      </c>
      <c r="M20" s="108" t="s">
        <v>27</v>
      </c>
      <c r="N20" s="109" t="s">
        <v>27</v>
      </c>
      <c r="O20" s="108" t="s">
        <v>27</v>
      </c>
      <c r="P20" s="110" t="s">
        <v>27</v>
      </c>
      <c r="Q20" s="110">
        <v>1.0151114177207476</v>
      </c>
      <c r="R20" s="108" t="s">
        <v>27</v>
      </c>
      <c r="S20" s="108">
        <v>11.009760296061595</v>
      </c>
      <c r="T20" s="111">
        <v>1045.9272281258516</v>
      </c>
      <c r="U20" s="109">
        <v>62.29643043478459</v>
      </c>
      <c r="V20" s="112" t="s">
        <v>27</v>
      </c>
      <c r="W20" s="113" t="s">
        <v>27</v>
      </c>
    </row>
    <row r="22" spans="1:25">
      <c r="A22" s="12" t="s">
        <v>32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 spans="1:25" ht="15" customHeight="1">
      <c r="A23" s="187" t="s">
        <v>1</v>
      </c>
      <c r="B23" s="187" t="s">
        <v>2</v>
      </c>
      <c r="C23" s="189" t="s">
        <v>33</v>
      </c>
      <c r="D23" s="190"/>
      <c r="E23" s="190"/>
      <c r="F23" s="190"/>
      <c r="G23" s="190"/>
      <c r="H23" s="190"/>
      <c r="I23" s="190"/>
      <c r="J23" s="191"/>
      <c r="K23" s="189" t="s">
        <v>105</v>
      </c>
      <c r="L23" s="191"/>
      <c r="M23" s="189" t="s">
        <v>34</v>
      </c>
      <c r="N23" s="190"/>
      <c r="O23" s="190"/>
      <c r="P23" s="190"/>
      <c r="Q23" s="190"/>
      <c r="R23" s="190"/>
      <c r="S23" s="190"/>
      <c r="T23" s="191"/>
      <c r="U23" s="189" t="s">
        <v>106</v>
      </c>
      <c r="V23" s="191"/>
      <c r="W23" s="193" t="s">
        <v>113</v>
      </c>
    </row>
    <row r="24" spans="1:25">
      <c r="A24" s="188"/>
      <c r="B24" s="188"/>
      <c r="C24" s="96" t="s">
        <v>19</v>
      </c>
      <c r="D24" s="96" t="s">
        <v>20</v>
      </c>
      <c r="E24" s="96" t="s">
        <v>21</v>
      </c>
      <c r="F24" s="96" t="s">
        <v>22</v>
      </c>
      <c r="G24" s="96" t="s">
        <v>23</v>
      </c>
      <c r="H24" s="96" t="s">
        <v>24</v>
      </c>
      <c r="I24" s="96" t="s">
        <v>25</v>
      </c>
      <c r="J24" s="96" t="s">
        <v>26</v>
      </c>
      <c r="K24" s="122" t="s">
        <v>105</v>
      </c>
      <c r="L24" s="122" t="s">
        <v>107</v>
      </c>
      <c r="M24" s="96" t="s">
        <v>19</v>
      </c>
      <c r="N24" s="96" t="s">
        <v>20</v>
      </c>
      <c r="O24" s="96" t="s">
        <v>21</v>
      </c>
      <c r="P24" s="96" t="s">
        <v>22</v>
      </c>
      <c r="Q24" s="96" t="s">
        <v>23</v>
      </c>
      <c r="R24" s="96" t="s">
        <v>24</v>
      </c>
      <c r="S24" s="96" t="s">
        <v>25</v>
      </c>
      <c r="T24" s="96" t="s">
        <v>26</v>
      </c>
      <c r="U24" s="141" t="s">
        <v>106</v>
      </c>
      <c r="V24" s="141" t="s">
        <v>107</v>
      </c>
      <c r="W24" s="194"/>
    </row>
    <row r="25" spans="1:25" s="95" customFormat="1" ht="12">
      <c r="A25" s="92" t="s">
        <v>65</v>
      </c>
      <c r="B25" s="92" t="s">
        <v>66</v>
      </c>
      <c r="C25" s="92" t="s">
        <v>70</v>
      </c>
      <c r="D25" s="92" t="s">
        <v>70</v>
      </c>
      <c r="E25" s="92" t="s">
        <v>70</v>
      </c>
      <c r="F25" s="92" t="s">
        <v>70</v>
      </c>
      <c r="G25" s="92" t="s">
        <v>70</v>
      </c>
      <c r="H25" s="92" t="s">
        <v>70</v>
      </c>
      <c r="I25" s="92" t="s">
        <v>70</v>
      </c>
      <c r="J25" s="92" t="s">
        <v>70</v>
      </c>
      <c r="K25" s="92" t="s">
        <v>75</v>
      </c>
      <c r="L25" s="92" t="s">
        <v>75</v>
      </c>
      <c r="M25" s="92" t="s">
        <v>70</v>
      </c>
      <c r="N25" s="92" t="s">
        <v>70</v>
      </c>
      <c r="O25" s="92" t="s">
        <v>70</v>
      </c>
      <c r="P25" s="92" t="s">
        <v>70</v>
      </c>
      <c r="Q25" s="92" t="s">
        <v>70</v>
      </c>
      <c r="R25" s="92" t="s">
        <v>70</v>
      </c>
      <c r="S25" s="92" t="s">
        <v>70</v>
      </c>
      <c r="T25" s="92" t="s">
        <v>70</v>
      </c>
      <c r="U25" s="92" t="s">
        <v>75</v>
      </c>
      <c r="V25" s="92" t="s">
        <v>75</v>
      </c>
      <c r="W25" s="92" t="s">
        <v>75</v>
      </c>
    </row>
    <row r="26" spans="1:25">
      <c r="A26" s="87">
        <v>29</v>
      </c>
      <c r="B26" s="23">
        <v>13.340302353858901</v>
      </c>
      <c r="C26" s="24">
        <v>46.353457896253111</v>
      </c>
      <c r="D26" s="24">
        <v>114.96142376735615</v>
      </c>
      <c r="E26" s="24">
        <v>21.049004839800897</v>
      </c>
      <c r="F26" s="24">
        <v>0</v>
      </c>
      <c r="G26" s="24">
        <v>0</v>
      </c>
      <c r="H26" s="24">
        <v>0</v>
      </c>
      <c r="I26" s="24">
        <v>0</v>
      </c>
      <c r="J26" s="24">
        <v>0</v>
      </c>
      <c r="K26" s="88">
        <v>5289.5463270970859</v>
      </c>
      <c r="L26" s="88">
        <v>2978.6086339629351</v>
      </c>
      <c r="M26" s="25">
        <v>21.751300835519668</v>
      </c>
      <c r="N26" s="25">
        <v>26.660167855109432</v>
      </c>
      <c r="O26" s="25">
        <v>5.1568353898407251</v>
      </c>
      <c r="P26" s="25">
        <v>0</v>
      </c>
      <c r="Q26" s="25">
        <v>0</v>
      </c>
      <c r="R26" s="25">
        <v>0</v>
      </c>
      <c r="S26" s="25">
        <v>0</v>
      </c>
      <c r="T26" s="25">
        <v>0</v>
      </c>
      <c r="U26" s="88">
        <v>949.90996663616352</v>
      </c>
      <c r="V26" s="88">
        <v>534.90599252633956</v>
      </c>
      <c r="W26" s="89">
        <v>2978.6086339629351</v>
      </c>
    </row>
    <row r="27" spans="1:25">
      <c r="A27" s="114">
        <v>35</v>
      </c>
      <c r="B27" s="103">
        <v>15.786579421997001</v>
      </c>
      <c r="C27" s="104">
        <v>10.957675391279999</v>
      </c>
      <c r="D27" s="104">
        <v>116.77888511210142</v>
      </c>
      <c r="E27" s="104">
        <v>58.834666441128917</v>
      </c>
      <c r="F27" s="104">
        <v>28.822135823823125</v>
      </c>
      <c r="G27" s="104">
        <v>0</v>
      </c>
      <c r="H27" s="104">
        <v>0</v>
      </c>
      <c r="I27" s="104">
        <v>0</v>
      </c>
      <c r="J27" s="104">
        <v>0</v>
      </c>
      <c r="K27" s="115">
        <v>7874.803943845146</v>
      </c>
      <c r="L27" s="115">
        <v>3937.6194217132706</v>
      </c>
      <c r="M27" s="116">
        <v>7.3309650140714915</v>
      </c>
      <c r="N27" s="116">
        <v>20.629852930456906</v>
      </c>
      <c r="O27" s="116">
        <v>4.9357391557024295</v>
      </c>
      <c r="P27" s="116">
        <v>2.1215218754963407</v>
      </c>
      <c r="Q27" s="116">
        <v>0</v>
      </c>
      <c r="R27" s="116">
        <v>0</v>
      </c>
      <c r="S27" s="116">
        <v>0</v>
      </c>
      <c r="T27" s="116">
        <v>0</v>
      </c>
      <c r="U27" s="115">
        <v>786.5811762423416</v>
      </c>
      <c r="V27" s="115">
        <v>393.31230826980692</v>
      </c>
      <c r="W27" s="106">
        <v>4472.5254142396097</v>
      </c>
    </row>
    <row r="28" spans="1:25">
      <c r="A28" s="87">
        <v>41</v>
      </c>
      <c r="B28" s="23">
        <v>18.000024499893101</v>
      </c>
      <c r="C28" s="24">
        <v>1.3419421588244631</v>
      </c>
      <c r="D28" s="24">
        <v>70.002090507243764</v>
      </c>
      <c r="E28" s="24">
        <v>87.890903715151765</v>
      </c>
      <c r="F28" s="24">
        <v>109.01981122531559</v>
      </c>
      <c r="G28" s="24">
        <v>0</v>
      </c>
      <c r="H28" s="24">
        <v>0</v>
      </c>
      <c r="I28" s="24">
        <v>0</v>
      </c>
      <c r="J28" s="24">
        <v>0</v>
      </c>
      <c r="K28" s="88">
        <v>11728.33026823764</v>
      </c>
      <c r="L28" s="88">
        <v>5207.4983966781565</v>
      </c>
      <c r="M28" s="25">
        <v>1.2390483231948017</v>
      </c>
      <c r="N28" s="25">
        <v>22.539342794679879</v>
      </c>
      <c r="O28" s="25">
        <v>6.3582882179110811</v>
      </c>
      <c r="P28" s="25">
        <v>6.6221896346495823</v>
      </c>
      <c r="Q28" s="25">
        <v>0</v>
      </c>
      <c r="R28" s="25">
        <v>0</v>
      </c>
      <c r="S28" s="25">
        <v>0</v>
      </c>
      <c r="T28" s="25">
        <v>0</v>
      </c>
      <c r="U28" s="88">
        <v>1111.4327125258503</v>
      </c>
      <c r="V28" s="88">
        <v>493.48747316302536</v>
      </c>
      <c r="W28" s="89">
        <v>6135.7166974743031</v>
      </c>
    </row>
    <row r="29" spans="1:25">
      <c r="A29" s="114">
        <v>47</v>
      </c>
      <c r="B29" s="103">
        <v>19.9695176887512</v>
      </c>
      <c r="C29" s="104">
        <v>0</v>
      </c>
      <c r="D29" s="104">
        <v>18.182591338894539</v>
      </c>
      <c r="E29" s="104">
        <v>71.950405101392207</v>
      </c>
      <c r="F29" s="104">
        <v>183.43845030033472</v>
      </c>
      <c r="G29" s="104">
        <v>45.194961176525815</v>
      </c>
      <c r="H29" s="104">
        <v>0</v>
      </c>
      <c r="I29" s="104">
        <v>0</v>
      </c>
      <c r="J29" s="104">
        <v>0</v>
      </c>
      <c r="K29" s="115">
        <v>15951.303546131034</v>
      </c>
      <c r="L29" s="115">
        <v>6289.0943007384431</v>
      </c>
      <c r="M29" s="116">
        <v>0</v>
      </c>
      <c r="N29" s="116">
        <v>10.969479126307414</v>
      </c>
      <c r="O29" s="116">
        <v>17.096292081159351</v>
      </c>
      <c r="P29" s="116">
        <v>10.127091156111245</v>
      </c>
      <c r="Q29" s="116">
        <v>2.5042546086764701</v>
      </c>
      <c r="R29" s="116">
        <v>0</v>
      </c>
      <c r="S29" s="116">
        <v>0</v>
      </c>
      <c r="T29" s="116">
        <v>0</v>
      </c>
      <c r="U29" s="115">
        <v>1523.4167165424803</v>
      </c>
      <c r="V29" s="115">
        <v>600.63501154931134</v>
      </c>
      <c r="W29" s="106">
        <v>7710.8000746976149</v>
      </c>
    </row>
    <row r="30" spans="1:25">
      <c r="A30" s="87">
        <v>53</v>
      </c>
      <c r="B30" s="23">
        <v>21.7211628818511</v>
      </c>
      <c r="C30" s="24">
        <v>0</v>
      </c>
      <c r="D30" s="24">
        <v>1.2628284868450628</v>
      </c>
      <c r="E30" s="24">
        <v>20.503353119433726</v>
      </c>
      <c r="F30" s="24">
        <v>205.03694446629819</v>
      </c>
      <c r="G30" s="24">
        <v>136.58246308447718</v>
      </c>
      <c r="H30" s="24">
        <v>0</v>
      </c>
      <c r="I30" s="24">
        <v>0</v>
      </c>
      <c r="J30" s="24">
        <v>0</v>
      </c>
      <c r="K30" s="88">
        <v>20225.888178495166</v>
      </c>
      <c r="L30" s="88">
        <v>7081.063654903719</v>
      </c>
      <c r="M30" s="25">
        <v>0</v>
      </c>
      <c r="N30" s="25">
        <v>1.1201133259095768</v>
      </c>
      <c r="O30" s="25">
        <v>12.627298732296619</v>
      </c>
      <c r="P30" s="25">
        <v>29.739333080247974</v>
      </c>
      <c r="Q30" s="25">
        <v>7.253125636369278</v>
      </c>
      <c r="R30" s="25">
        <v>0</v>
      </c>
      <c r="S30" s="25">
        <v>0</v>
      </c>
      <c r="T30" s="25">
        <v>0</v>
      </c>
      <c r="U30" s="88">
        <v>2267.1062639166544</v>
      </c>
      <c r="V30" s="88">
        <v>793.7116840334071</v>
      </c>
      <c r="W30" s="89">
        <v>9103.4044404122033</v>
      </c>
    </row>
    <row r="31" spans="1:25">
      <c r="A31" s="114">
        <v>59</v>
      </c>
      <c r="B31" s="103">
        <v>23.284958644866901</v>
      </c>
      <c r="C31" s="104">
        <v>0</v>
      </c>
      <c r="D31" s="104">
        <v>0</v>
      </c>
      <c r="E31" s="104">
        <v>1.315642458710969</v>
      </c>
      <c r="F31" s="104">
        <v>125.16897930274199</v>
      </c>
      <c r="G31" s="104">
        <v>267.74901907861852</v>
      </c>
      <c r="H31" s="104">
        <v>0</v>
      </c>
      <c r="I31" s="104">
        <v>0</v>
      </c>
      <c r="J31" s="104">
        <v>0</v>
      </c>
      <c r="K31" s="115">
        <v>23930.089228745434</v>
      </c>
      <c r="L31" s="115">
        <v>7439.3361683389176</v>
      </c>
      <c r="M31" s="116">
        <v>0</v>
      </c>
      <c r="N31" s="116">
        <v>0</v>
      </c>
      <c r="O31" s="116">
        <v>1.136792434369138</v>
      </c>
      <c r="P31" s="116">
        <v>35.130157788999895</v>
      </c>
      <c r="Q31" s="116">
        <v>13.843171416056377</v>
      </c>
      <c r="R31" s="116">
        <v>0</v>
      </c>
      <c r="S31" s="116">
        <v>0</v>
      </c>
      <c r="T31" s="116">
        <v>0</v>
      </c>
      <c r="U31" s="115">
        <v>2554.4112683923395</v>
      </c>
      <c r="V31" s="115">
        <v>794.11004096619013</v>
      </c>
      <c r="W31" s="106">
        <v>10255.388637880807</v>
      </c>
    </row>
    <row r="32" spans="1:25">
      <c r="A32" s="87">
        <v>65</v>
      </c>
      <c r="B32" s="23">
        <v>24.689132305145201</v>
      </c>
      <c r="C32" s="24">
        <v>0</v>
      </c>
      <c r="D32" s="24">
        <v>0</v>
      </c>
      <c r="E32" s="24">
        <v>0</v>
      </c>
      <c r="F32" s="24">
        <v>27.637092452355976</v>
      </c>
      <c r="G32" s="24">
        <v>348.84491800708986</v>
      </c>
      <c r="H32" s="24">
        <v>45.777556752291318</v>
      </c>
      <c r="I32" s="24">
        <v>0</v>
      </c>
      <c r="J32" s="24">
        <v>0</v>
      </c>
      <c r="K32" s="88">
        <v>27451.388832291559</v>
      </c>
      <c r="L32" s="88">
        <v>7577.9748017586344</v>
      </c>
      <c r="M32" s="25">
        <v>0</v>
      </c>
      <c r="N32" s="25">
        <v>0</v>
      </c>
      <c r="O32" s="25">
        <v>0</v>
      </c>
      <c r="P32" s="25">
        <v>15.624497341762245</v>
      </c>
      <c r="Q32" s="25">
        <v>30.448993602088802</v>
      </c>
      <c r="R32" s="25">
        <v>3.0118403569495955</v>
      </c>
      <c r="S32" s="25">
        <v>0</v>
      </c>
      <c r="T32" s="25">
        <v>0</v>
      </c>
      <c r="U32" s="88">
        <v>2758.3444869977457</v>
      </c>
      <c r="V32" s="88">
        <v>761.4428961951312</v>
      </c>
      <c r="W32" s="89">
        <v>11188.137312266714</v>
      </c>
    </row>
    <row r="33" spans="1:25">
      <c r="A33" s="114">
        <v>71</v>
      </c>
      <c r="B33" s="103">
        <v>25.960677707672101</v>
      </c>
      <c r="C33" s="104">
        <v>0</v>
      </c>
      <c r="D33" s="104">
        <v>0</v>
      </c>
      <c r="E33" s="104">
        <v>0</v>
      </c>
      <c r="F33" s="104">
        <v>1.0073014058108982</v>
      </c>
      <c r="G33" s="104">
        <v>310.30742400786374</v>
      </c>
      <c r="H33" s="104">
        <v>137.11522303568668</v>
      </c>
      <c r="I33" s="104">
        <v>0</v>
      </c>
      <c r="J33" s="104">
        <v>0</v>
      </c>
      <c r="K33" s="115">
        <v>30781.118485155781</v>
      </c>
      <c r="L33" s="115">
        <v>7545.2251125919402</v>
      </c>
      <c r="M33" s="116">
        <v>0</v>
      </c>
      <c r="N33" s="116">
        <v>0</v>
      </c>
      <c r="O33" s="116">
        <v>0</v>
      </c>
      <c r="P33" s="116">
        <v>0.60177649972011793</v>
      </c>
      <c r="Q33" s="116">
        <v>42.368231992111376</v>
      </c>
      <c r="R33" s="116">
        <v>5.3891823071966902</v>
      </c>
      <c r="S33" s="116">
        <v>0</v>
      </c>
      <c r="T33" s="116">
        <v>0</v>
      </c>
      <c r="U33" s="115">
        <v>2933.2281974350431</v>
      </c>
      <c r="V33" s="115">
        <v>719.00789007789899</v>
      </c>
      <c r="W33" s="106">
        <v>11916.830519295152</v>
      </c>
    </row>
    <row r="34" spans="1:25">
      <c r="A34" s="87">
        <v>77</v>
      </c>
      <c r="B34" s="23">
        <v>27.134972211837699</v>
      </c>
      <c r="C34" s="24">
        <v>0</v>
      </c>
      <c r="D34" s="24">
        <v>0</v>
      </c>
      <c r="E34" s="24">
        <v>0</v>
      </c>
      <c r="F34" s="24">
        <v>0</v>
      </c>
      <c r="G34" s="24">
        <v>194.45265477797361</v>
      </c>
      <c r="H34" s="24">
        <v>278.24191623858655</v>
      </c>
      <c r="I34" s="24">
        <v>0</v>
      </c>
      <c r="J34" s="24">
        <v>0</v>
      </c>
      <c r="K34" s="88">
        <v>33853.292586406649</v>
      </c>
      <c r="L34" s="88">
        <v>7368.6459350258328</v>
      </c>
      <c r="M34" s="25">
        <v>0</v>
      </c>
      <c r="N34" s="25">
        <v>0</v>
      </c>
      <c r="O34" s="25">
        <v>0</v>
      </c>
      <c r="P34" s="25">
        <v>0</v>
      </c>
      <c r="Q34" s="25">
        <v>36.97427497149679</v>
      </c>
      <c r="R34" s="25">
        <v>10.45200811702194</v>
      </c>
      <c r="S34" s="25">
        <v>0</v>
      </c>
      <c r="T34" s="25">
        <v>0</v>
      </c>
      <c r="U34" s="88">
        <v>3041.8157381573433</v>
      </c>
      <c r="V34" s="88">
        <v>662.09403758471603</v>
      </c>
      <c r="W34" s="89">
        <v>12459.259231806944</v>
      </c>
    </row>
    <row r="35" spans="1:25">
      <c r="A35" s="114">
        <v>83</v>
      </c>
      <c r="B35" s="103">
        <v>28.217890075683499</v>
      </c>
      <c r="C35" s="104">
        <v>0</v>
      </c>
      <c r="D35" s="104">
        <v>0</v>
      </c>
      <c r="E35" s="104">
        <v>0</v>
      </c>
      <c r="F35" s="104">
        <v>0</v>
      </c>
      <c r="G35" s="104">
        <v>47.843686420153084</v>
      </c>
      <c r="H35" s="104">
        <v>424.16143787968508</v>
      </c>
      <c r="I35" s="104">
        <v>23.863712687780847</v>
      </c>
      <c r="J35" s="104">
        <v>0</v>
      </c>
      <c r="K35" s="115">
        <v>36681.921844641794</v>
      </c>
      <c r="L35" s="115">
        <v>7089.8627019255355</v>
      </c>
      <c r="M35" s="116">
        <v>0</v>
      </c>
      <c r="N35" s="116">
        <v>0</v>
      </c>
      <c r="O35" s="116">
        <v>0</v>
      </c>
      <c r="P35" s="116">
        <v>0</v>
      </c>
      <c r="Q35" s="116">
        <v>20.695837326903785</v>
      </c>
      <c r="R35" s="116">
        <v>25.549689766687592</v>
      </c>
      <c r="S35" s="116">
        <v>0.63205088025428668</v>
      </c>
      <c r="T35" s="116">
        <v>0</v>
      </c>
      <c r="U35" s="115">
        <v>3144.142434091897</v>
      </c>
      <c r="V35" s="115">
        <v>607.69820805519441</v>
      </c>
      <c r="W35" s="106">
        <v>12842.570036291361</v>
      </c>
    </row>
    <row r="36" spans="1:25">
      <c r="A36" s="87">
        <v>89</v>
      </c>
      <c r="B36" s="23">
        <v>29.2401842746734</v>
      </c>
      <c r="C36" s="24">
        <v>0</v>
      </c>
      <c r="D36" s="24">
        <v>0</v>
      </c>
      <c r="E36" s="24">
        <v>0</v>
      </c>
      <c r="F36" s="24">
        <v>0</v>
      </c>
      <c r="G36" s="24">
        <v>1.0520651667413834</v>
      </c>
      <c r="H36" s="24">
        <v>406.13981612348721</v>
      </c>
      <c r="I36" s="24">
        <v>110.4290538084263</v>
      </c>
      <c r="J36" s="24">
        <v>0</v>
      </c>
      <c r="K36" s="88">
        <v>39195.211964053677</v>
      </c>
      <c r="L36" s="88">
        <v>6726.94273436002</v>
      </c>
      <c r="M36" s="25">
        <v>0</v>
      </c>
      <c r="N36" s="25">
        <v>0</v>
      </c>
      <c r="O36" s="25">
        <v>0</v>
      </c>
      <c r="P36" s="25">
        <v>0</v>
      </c>
      <c r="Q36" s="25">
        <v>0.78717664196574832</v>
      </c>
      <c r="R36" s="25">
        <v>41.320960589998123</v>
      </c>
      <c r="S36" s="25">
        <v>4.1530927470968111</v>
      </c>
      <c r="T36" s="25">
        <v>0</v>
      </c>
      <c r="U36" s="88">
        <v>3196.8016789987182</v>
      </c>
      <c r="V36" s="88">
        <v>548.65634729702492</v>
      </c>
      <c r="W36" s="89">
        <v>13087.34827678104</v>
      </c>
    </row>
    <row r="37" spans="1:25">
      <c r="A37" s="114">
        <v>95</v>
      </c>
      <c r="B37" s="108">
        <v>30.204393173217699</v>
      </c>
      <c r="C37" s="109">
        <v>0</v>
      </c>
      <c r="D37" s="109">
        <v>0</v>
      </c>
      <c r="E37" s="109">
        <v>0</v>
      </c>
      <c r="F37" s="109">
        <v>0</v>
      </c>
      <c r="G37" s="109">
        <v>0</v>
      </c>
      <c r="H37" s="109">
        <v>288.73087009960227</v>
      </c>
      <c r="I37" s="109">
        <v>249.8545758179142</v>
      </c>
      <c r="J37" s="109">
        <v>0</v>
      </c>
      <c r="K37" s="117">
        <v>41413.221703935087</v>
      </c>
      <c r="L37" s="117">
        <v>6311.3563223997044</v>
      </c>
      <c r="M37" s="118">
        <v>0</v>
      </c>
      <c r="N37" s="118">
        <v>0</v>
      </c>
      <c r="O37" s="118">
        <v>0</v>
      </c>
      <c r="P37" s="118">
        <v>0</v>
      </c>
      <c r="Q37" s="118">
        <v>0</v>
      </c>
      <c r="R37" s="118">
        <v>288.73087009960227</v>
      </c>
      <c r="S37" s="118">
        <v>249.8545758179142</v>
      </c>
      <c r="T37" s="118">
        <v>0</v>
      </c>
      <c r="U37" s="117">
        <v>41413.221703935087</v>
      </c>
      <c r="V37" s="117">
        <v>6311.3563223997044</v>
      </c>
      <c r="W37" s="111">
        <v>13220.418212117749</v>
      </c>
    </row>
    <row r="38" spans="1:25" s="10" customFormat="1">
      <c r="A38" s="26" t="s">
        <v>13</v>
      </c>
      <c r="B38" s="27" t="s">
        <v>27</v>
      </c>
      <c r="C38" s="27" t="s">
        <v>27</v>
      </c>
      <c r="D38" s="27" t="s">
        <v>27</v>
      </c>
      <c r="E38" s="27" t="s">
        <v>27</v>
      </c>
      <c r="F38" s="27" t="s">
        <v>27</v>
      </c>
      <c r="G38" s="27" t="s">
        <v>27</v>
      </c>
      <c r="H38" s="27" t="s">
        <v>27</v>
      </c>
      <c r="I38" s="27" t="s">
        <v>27</v>
      </c>
      <c r="J38" s="27" t="s">
        <v>27</v>
      </c>
      <c r="K38" s="27" t="s">
        <v>27</v>
      </c>
      <c r="L38" s="27" t="s">
        <v>27</v>
      </c>
      <c r="M38" s="26">
        <v>30.321314172785961</v>
      </c>
      <c r="N38" s="26">
        <v>81.918956032463214</v>
      </c>
      <c r="O38" s="26">
        <v>47.311246011279351</v>
      </c>
      <c r="P38" s="26">
        <v>99.966567376987399</v>
      </c>
      <c r="Q38" s="26">
        <v>154.87506619566861</v>
      </c>
      <c r="R38" s="26">
        <v>374.4545512374562</v>
      </c>
      <c r="S38" s="26">
        <v>254.63971944526529</v>
      </c>
      <c r="T38" s="26">
        <v>0</v>
      </c>
      <c r="U38" s="27" t="s">
        <v>27</v>
      </c>
      <c r="V38" s="90">
        <v>13220.418212117749</v>
      </c>
      <c r="W38" s="28" t="s">
        <v>27</v>
      </c>
    </row>
    <row r="39" spans="1:25">
      <c r="A39" s="17"/>
      <c r="V39" s="9"/>
    </row>
    <row r="40" spans="1:25">
      <c r="H40" s="15"/>
      <c r="I40" s="15"/>
      <c r="J40" s="15"/>
      <c r="W40" s="15" t="s">
        <v>77</v>
      </c>
    </row>
    <row r="41" spans="1:25">
      <c r="V41" s="9"/>
      <c r="W41" s="15" t="s">
        <v>78</v>
      </c>
      <c r="X41" s="9"/>
      <c r="Y41" s="9"/>
    </row>
    <row r="42" spans="1:25">
      <c r="A42" s="8"/>
      <c r="B42" s="8"/>
      <c r="C42" s="8"/>
      <c r="D42" s="8"/>
      <c r="E42" s="8"/>
      <c r="F42" s="8"/>
      <c r="G42" s="8"/>
      <c r="H42" s="8"/>
      <c r="I42" s="8"/>
      <c r="J42" s="8"/>
      <c r="V42" s="9"/>
      <c r="W42" s="15"/>
      <c r="X42" s="9"/>
      <c r="Y42" s="15"/>
    </row>
    <row r="43" spans="1:25">
      <c r="V43" s="9"/>
      <c r="W43" s="9"/>
      <c r="X43" s="9"/>
      <c r="Y43" s="9"/>
    </row>
    <row r="44" spans="1:25"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spans="1:25">
      <c r="V45" s="9"/>
      <c r="W45" s="9"/>
      <c r="X45" s="9"/>
      <c r="Y45" s="9"/>
    </row>
    <row r="46" spans="1:25">
      <c r="V46" s="9"/>
      <c r="W46" s="9"/>
      <c r="X46" s="9"/>
      <c r="Y46" s="9"/>
    </row>
  </sheetData>
  <mergeCells count="17">
    <mergeCell ref="D1:T1"/>
    <mergeCell ref="U6:U7"/>
    <mergeCell ref="V6:V7"/>
    <mergeCell ref="W6:W7"/>
    <mergeCell ref="W23:W24"/>
    <mergeCell ref="O6:T6"/>
    <mergeCell ref="C6:F6"/>
    <mergeCell ref="G6:J6"/>
    <mergeCell ref="K6:N6"/>
    <mergeCell ref="K23:L23"/>
    <mergeCell ref="U23:V23"/>
    <mergeCell ref="M23:T23"/>
    <mergeCell ref="A6:A7"/>
    <mergeCell ref="B6:B7"/>
    <mergeCell ref="A23:A24"/>
    <mergeCell ref="B23:B24"/>
    <mergeCell ref="C23:J23"/>
  </mergeCells>
  <pageMargins left="0.70866141732283472" right="0.70866141732283472" top="0.74803149606299213" bottom="0.74803149606299213" header="0.31496062992125984" footer="0.31496062992125984"/>
  <pageSetup paperSize="9" scale="7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48D708EB18334A8F5E2D4BBE638BA8" ma:contentTypeVersion="11" ma:contentTypeDescription="Crée un document." ma:contentTypeScope="" ma:versionID="73a72bdd6a2a580272656966b991cb93">
  <xsd:schema xmlns:xsd="http://www.w3.org/2001/XMLSchema" xmlns:xs="http://www.w3.org/2001/XMLSchema" xmlns:p="http://schemas.microsoft.com/office/2006/metadata/properties" xmlns:ns2="5785a5e1-32c4-4f65-af10-eebc16574aee" xmlns:ns3="aad19e44-66bb-48cb-9d5c-a59f7b5db471" targetNamespace="http://schemas.microsoft.com/office/2006/metadata/properties" ma:root="true" ma:fieldsID="250138fd6bf6ca4c82a587bcbad83ccc" ns2:_="" ns3:_="">
    <xsd:import namespace="5785a5e1-32c4-4f65-af10-eebc16574aee"/>
    <xsd:import namespace="aad19e44-66bb-48cb-9d5c-a59f7b5db4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85a5e1-32c4-4f65-af10-eebc16574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4434ded7-6e41-4000-8be6-3d063d771b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d19e44-66bb-48cb-9d5c-a59f7b5db47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0387289-2c89-4b9a-9ce8-6120ba570354}" ma:internalName="TaxCatchAll" ma:showField="CatchAllData" ma:web="aad19e44-66bb-48cb-9d5c-a59f7b5db4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ad19e44-66bb-48cb-9d5c-a59f7b5db471" xsi:nil="true"/>
    <lcf76f155ced4ddcb4097134ff3c332f xmlns="5785a5e1-32c4-4f65-af10-eebc16574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0E77A34-F2E2-4E49-B84E-3ED254EE7C77}"/>
</file>

<file path=customXml/itemProps2.xml><?xml version="1.0" encoding="utf-8"?>
<ds:datastoreItem xmlns:ds="http://schemas.openxmlformats.org/officeDocument/2006/customXml" ds:itemID="{CADF2264-F851-43AB-9775-6C065E46E4B8}"/>
</file>

<file path=customXml/itemProps3.xml><?xml version="1.0" encoding="utf-8"?>
<ds:datastoreItem xmlns:ds="http://schemas.openxmlformats.org/officeDocument/2006/customXml" ds:itemID="{742EAC71-EDF1-43DC-9451-63528F16D7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Synthèse</vt:lpstr>
      <vt:lpstr>Ep0A</vt:lpstr>
      <vt:lpstr>Ep1A</vt:lpstr>
      <vt:lpstr>Ep2A</vt:lpstr>
      <vt:lpstr>Ep3A</vt:lpstr>
      <vt:lpstr>Ep4A</vt:lpstr>
      <vt:lpstr>Ep0B</vt:lpstr>
      <vt:lpstr>Ep1B</vt:lpstr>
      <vt:lpstr>Ep2B</vt:lpstr>
      <vt:lpstr>Ep3B</vt:lpstr>
      <vt:lpstr>Ep4B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2016-07-05T10:26:12Z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0x0101009F48D708EB18334A8F5E2D4BBE638BA8</vt:lpwstr>
  </property>
</Properties>
</file>