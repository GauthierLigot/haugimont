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educuliegebe.sharepoint.com/sites/PRWHaugimont/Documents partages/General/4_ANALYSE ECONOMIQUE/2_processing/3_economicScenario/"/>
    </mc:Choice>
  </mc:AlternateContent>
  <xr:revisionPtr revIDLastSave="714" documentId="13_ncr:1_{31718B1F-73B5-413D-93E8-99C527B98019}" xr6:coauthVersionLast="47" xr6:coauthVersionMax="47" xr10:uidLastSave="{9533F93E-9F12-4CF9-90B1-49370110AFFE}"/>
  <bookViews>
    <workbookView xWindow="22932" yWindow="-108" windowWidth="23256" windowHeight="12456" tabRatio="740" xr2:uid="{44A93F8D-879F-419D-AC70-12921C91D6D4}"/>
  </bookViews>
  <sheets>
    <sheet name="DOU1-2" sheetId="3" r:id="rId1"/>
    <sheet name="DOU3" sheetId="4" r:id="rId2"/>
    <sheet name="SPR1-2" sheetId="5" r:id="rId3"/>
    <sheet name="SPR3" sheetId="6" r:id="rId4"/>
    <sheet name="OAK_SHLTR1-2" sheetId="7" r:id="rId5"/>
    <sheet name="OAK_SHLTR3" sheetId="8" r:id="rId6"/>
    <sheet name="OAK1-2" sheetId="9" r:id="rId7"/>
    <sheet name="OAK3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8" l="1"/>
  <c r="E6" i="6"/>
  <c r="D3" i="6"/>
  <c r="F1" i="6"/>
  <c r="D8" i="10"/>
  <c r="D5" i="10"/>
  <c r="E5" i="10"/>
  <c r="E2" i="10"/>
  <c r="C2" i="10"/>
  <c r="G2" i="10"/>
  <c r="H2" i="10"/>
  <c r="I2" i="10"/>
  <c r="K2" i="10"/>
  <c r="L2" i="10"/>
  <c r="M2" i="10"/>
  <c r="A12" i="8"/>
  <c r="A9" i="9" s="1"/>
  <c r="A9" i="8"/>
  <c r="A10" i="8" s="1"/>
  <c r="A10" i="7"/>
  <c r="A7" i="7"/>
  <c r="A4" i="7"/>
  <c r="A6" i="8"/>
  <c r="A7" i="8" s="1"/>
  <c r="A5" i="8"/>
  <c r="A4" i="9" s="1"/>
  <c r="A4" i="8"/>
  <c r="A3" i="9" s="1"/>
  <c r="A3" i="8"/>
  <c r="A2" i="9" s="1"/>
  <c r="A2" i="10" s="1"/>
  <c r="A8" i="8"/>
  <c r="A11" i="8" s="1"/>
  <c r="A2" i="8"/>
  <c r="D9" i="10"/>
  <c r="D7" i="10"/>
  <c r="J14" i="10"/>
  <c r="J13" i="10"/>
  <c r="J12" i="10"/>
  <c r="J11" i="10"/>
  <c r="J10" i="10"/>
  <c r="D10" i="10" s="1"/>
  <c r="J6" i="10"/>
  <c r="D4" i="10"/>
  <c r="D3" i="10"/>
  <c r="C1" i="10"/>
  <c r="J10" i="9"/>
  <c r="D10" i="9" s="1"/>
  <c r="J9" i="9"/>
  <c r="D9" i="9" s="1"/>
  <c r="J8" i="9"/>
  <c r="D8" i="9" s="1"/>
  <c r="J7" i="9"/>
  <c r="D7" i="9" s="1"/>
  <c r="D6" i="7" s="1"/>
  <c r="J6" i="9"/>
  <c r="D6" i="9" s="1"/>
  <c r="J5" i="9"/>
  <c r="D5" i="9" s="1"/>
  <c r="D6" i="10" s="1"/>
  <c r="D4" i="9"/>
  <c r="J4" i="9"/>
  <c r="D3" i="9"/>
  <c r="J3" i="9"/>
  <c r="J2" i="9"/>
  <c r="J2" i="10" s="1"/>
  <c r="C1" i="9"/>
  <c r="D5" i="7"/>
  <c r="D8" i="8" s="1"/>
  <c r="J8" i="7"/>
  <c r="D8" i="7" s="1"/>
  <c r="D11" i="8" s="1"/>
  <c r="J2" i="7"/>
  <c r="D2" i="7" s="1"/>
  <c r="D2" i="8" s="1"/>
  <c r="J5" i="7"/>
  <c r="D5" i="8"/>
  <c r="D4" i="8"/>
  <c r="C1" i="7"/>
  <c r="C8" i="6"/>
  <c r="D5" i="6"/>
  <c r="A2" i="5"/>
  <c r="A2" i="6" s="1"/>
  <c r="C2" i="5"/>
  <c r="E2" i="5"/>
  <c r="A3" i="5"/>
  <c r="A3" i="6" s="1"/>
  <c r="C3" i="5"/>
  <c r="E3" i="5"/>
  <c r="E3" i="6" s="1"/>
  <c r="A4" i="5"/>
  <c r="A4" i="6" s="1"/>
  <c r="C4" i="5"/>
  <c r="E4" i="5"/>
  <c r="E4" i="6" s="1"/>
  <c r="A5" i="5"/>
  <c r="C5" i="5"/>
  <c r="E5" i="5"/>
  <c r="E7" i="6" s="1"/>
  <c r="A6" i="5"/>
  <c r="A8" i="6" s="1"/>
  <c r="C1" i="6"/>
  <c r="D1" i="5"/>
  <c r="D1" i="8" s="1"/>
  <c r="E1" i="5"/>
  <c r="E1" i="10" s="1"/>
  <c r="A1" i="5"/>
  <c r="A1" i="8" s="1"/>
  <c r="A7" i="9" l="1"/>
  <c r="A13" i="8"/>
  <c r="A10" i="9" s="1"/>
  <c r="A5" i="9"/>
  <c r="A6" i="9" s="1"/>
  <c r="D9" i="7"/>
  <c r="D13" i="10"/>
  <c r="D14" i="10" s="1"/>
  <c r="D7" i="7"/>
  <c r="D10" i="8" s="1"/>
  <c r="D9" i="8"/>
  <c r="A13" i="10"/>
  <c r="A14" i="10" s="1"/>
  <c r="D11" i="10"/>
  <c r="D12" i="10" s="1"/>
  <c r="D3" i="7"/>
  <c r="A1" i="7"/>
  <c r="A4" i="10"/>
  <c r="A3" i="10"/>
  <c r="E5" i="6"/>
  <c r="E1" i="9"/>
  <c r="D1" i="6"/>
  <c r="E1" i="8"/>
  <c r="E1" i="6"/>
  <c r="A1" i="9"/>
  <c r="D1" i="9"/>
  <c r="A1" i="10"/>
  <c r="D1" i="7"/>
  <c r="A1" i="6"/>
  <c r="E1" i="7"/>
  <c r="D1" i="10"/>
  <c r="C1" i="8"/>
  <c r="C6" i="4"/>
  <c r="A3" i="4"/>
  <c r="A7" i="4" s="1"/>
  <c r="C3" i="4"/>
  <c r="G3" i="4"/>
  <c r="E3" i="4"/>
  <c r="A4" i="4"/>
  <c r="A8" i="4" s="1"/>
  <c r="C4" i="4"/>
  <c r="G4" i="4"/>
  <c r="E4" i="4"/>
  <c r="A5" i="4"/>
  <c r="C5" i="4"/>
  <c r="D5" i="4"/>
  <c r="E5" i="4"/>
  <c r="A6" i="4"/>
  <c r="C2" i="4"/>
  <c r="E2" i="4"/>
  <c r="A2" i="4"/>
  <c r="D6" i="3"/>
  <c r="D6" i="5" s="1"/>
  <c r="D8" i="6" s="1"/>
  <c r="H4" i="3"/>
  <c r="D4" i="3" s="1"/>
  <c r="D4" i="5" s="1"/>
  <c r="D4" i="6" s="1"/>
  <c r="D5" i="3"/>
  <c r="D5" i="5" s="1"/>
  <c r="D7" i="6" s="1"/>
  <c r="H3" i="3"/>
  <c r="D3" i="3" s="1"/>
  <c r="D3" i="5" s="1"/>
  <c r="D2" i="3"/>
  <c r="A11" i="10" l="1"/>
  <c r="A12" i="10" s="1"/>
  <c r="A8" i="9"/>
  <c r="A10" i="10"/>
  <c r="A6" i="10"/>
  <c r="D4" i="7"/>
  <c r="D6" i="8"/>
  <c r="D7" i="8" s="1"/>
  <c r="D12" i="8"/>
  <c r="D13" i="8" s="1"/>
  <c r="D10" i="7"/>
  <c r="D3" i="4"/>
  <c r="H3" i="4"/>
  <c r="H7" i="4" s="1"/>
  <c r="D7" i="4" s="1"/>
  <c r="D2" i="5"/>
  <c r="D2" i="9"/>
  <c r="A9" i="4"/>
  <c r="A10" i="4"/>
  <c r="A11" i="4"/>
  <c r="D4" i="4"/>
  <c r="H4" i="4"/>
  <c r="H8" i="4" s="1"/>
  <c r="D8" i="4" s="1"/>
  <c r="D2" i="4"/>
  <c r="D6" i="4"/>
  <c r="D2" i="10" l="1"/>
</calcChain>
</file>

<file path=xl/sharedStrings.xml><?xml version="1.0" encoding="utf-8"?>
<sst xmlns="http://schemas.openxmlformats.org/spreadsheetml/2006/main" count="205" uniqueCount="40">
  <si>
    <t>label</t>
  </si>
  <si>
    <t>cost</t>
  </si>
  <si>
    <t>moyenne fed. Expert</t>
  </si>
  <si>
    <t>arbo plant corrigé pour la différence d'année</t>
  </si>
  <si>
    <t>source</t>
  </si>
  <si>
    <t>fourchette haute de la fed.Expert</t>
  </si>
  <si>
    <t>Sardin p 367 + union des entrepreneurs</t>
  </si>
  <si>
    <t>union des entrepreneurs</t>
  </si>
  <si>
    <t>Sardin p 367, 379 et 397 + union des entrepreneurs</t>
  </si>
  <si>
    <t>Planting</t>
  </si>
  <si>
    <t>Seedlings</t>
  </si>
  <si>
    <t>Clearing</t>
  </si>
  <si>
    <t>Pruning</t>
  </si>
  <si>
    <t>Chemical treatment (Hylobius)</t>
  </si>
  <si>
    <t>Silvicultural access paths (creation)</t>
  </si>
  <si>
    <t>Clearing (bramble)</t>
  </si>
  <si>
    <t>Silvicultural access paths (maintainance)</t>
  </si>
  <si>
    <t>Clearing (herbaceous + ligneous)</t>
  </si>
  <si>
    <t>Clearing (ligneous)</t>
  </si>
  <si>
    <t>reference scenario</t>
  </si>
  <si>
    <t>Spruce plantation</t>
  </si>
  <si>
    <t>Seedlings (replanting)</t>
  </si>
  <si>
    <t>Replanting</t>
  </si>
  <si>
    <t>Mulching</t>
  </si>
  <si>
    <t>Protections</t>
  </si>
  <si>
    <t>category</t>
  </si>
  <si>
    <t>year</t>
  </si>
  <si>
    <t>comment</t>
  </si>
  <si>
    <t>same as DOU1</t>
  </si>
  <si>
    <t>comment_n</t>
  </si>
  <si>
    <t>comment_unitPrice</t>
  </si>
  <si>
    <t>same as SPR1-2</t>
  </si>
  <si>
    <t>same as DOU1-2</t>
  </si>
  <si>
    <t>comment_height</t>
  </si>
  <si>
    <t>comment_HJ</t>
  </si>
  <si>
    <t>comment_HE</t>
  </si>
  <si>
    <t>comment_HJ_price</t>
  </si>
  <si>
    <t>comment_HE_price</t>
  </si>
  <si>
    <t>same as OAK1-2</t>
  </si>
  <si>
    <t>Regeneration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</si>
</sst>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047D8-0802-46D9-82A9-8600482DFC75}">
  <dimension ref="A1:H6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2" width="11.85546875" customWidth="1"/>
    <col min="3" max="3" width="8.7109375" customWidth="1"/>
    <col min="4" max="4" width="6.7109375" bestFit="1" customWidth="1"/>
    <col min="5" max="5" width="38" customWidth="1"/>
    <col min="6" max="6" width="20.85546875" customWidth="1"/>
    <col min="7" max="7" width="14.85546875" customWidth="1"/>
    <col min="8" max="8" width="18.7109375" bestFit="1" customWidth="1"/>
  </cols>
  <sheetData>
    <row r="1" spans="1:8" s="1" customFormat="1" x14ac:dyDescent="0.25">
      <c r="A1" s="1" t="s">
        <v>0</v>
      </c>
      <c r="B1" s="1" t="s">
        <v>25</v>
      </c>
      <c r="C1" s="1" t="s">
        <v>26</v>
      </c>
      <c r="D1" s="1" t="s">
        <v>1</v>
      </c>
      <c r="E1" s="1" t="s">
        <v>4</v>
      </c>
      <c r="F1" s="1" t="s">
        <v>27</v>
      </c>
      <c r="G1" s="1" t="s">
        <v>29</v>
      </c>
      <c r="H1" s="1" t="s">
        <v>30</v>
      </c>
    </row>
    <row r="2" spans="1:8" x14ac:dyDescent="0.25">
      <c r="A2" t="s">
        <v>23</v>
      </c>
      <c r="B2" t="s">
        <v>39</v>
      </c>
      <c r="C2">
        <v>0</v>
      </c>
      <c r="D2">
        <f>(950+1526)/2</f>
        <v>1238</v>
      </c>
      <c r="E2" t="s">
        <v>2</v>
      </c>
    </row>
    <row r="3" spans="1:8" x14ac:dyDescent="0.25">
      <c r="A3" t="s">
        <v>10</v>
      </c>
      <c r="B3" t="s">
        <v>39</v>
      </c>
      <c r="C3">
        <v>0</v>
      </c>
      <c r="D3">
        <f>G3*H3</f>
        <v>1040</v>
      </c>
      <c r="E3" t="s">
        <v>2</v>
      </c>
      <c r="G3">
        <v>2000</v>
      </c>
      <c r="H3">
        <f>(0.43+0.61)/2</f>
        <v>0.52</v>
      </c>
    </row>
    <row r="4" spans="1:8" x14ac:dyDescent="0.25">
      <c r="A4" t="s">
        <v>9</v>
      </c>
      <c r="B4" t="s">
        <v>39</v>
      </c>
      <c r="C4">
        <v>0</v>
      </c>
      <c r="D4" s="2">
        <f>G4*H4</f>
        <v>929.06666666666683</v>
      </c>
      <c r="E4" t="s">
        <v>3</v>
      </c>
      <c r="G4">
        <v>2000</v>
      </c>
      <c r="H4" s="2">
        <f>0.67*0.52/0.75</f>
        <v>0.46453333333333341</v>
      </c>
    </row>
    <row r="5" spans="1:8" x14ac:dyDescent="0.25">
      <c r="A5" t="s">
        <v>11</v>
      </c>
      <c r="B5" t="s">
        <v>39</v>
      </c>
      <c r="C5">
        <v>3</v>
      </c>
      <c r="D5">
        <f t="shared" ref="D5" si="0">(540+1347)/2</f>
        <v>943.5</v>
      </c>
      <c r="E5" t="s">
        <v>2</v>
      </c>
    </row>
    <row r="6" spans="1:8" x14ac:dyDescent="0.25">
      <c r="A6" t="s">
        <v>12</v>
      </c>
      <c r="B6" t="s">
        <v>39</v>
      </c>
      <c r="C6">
        <v>15</v>
      </c>
      <c r="D6">
        <f>(2443+1621)/2</f>
        <v>2032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E05C4-59F0-41A0-9730-E5B27620ABE5}">
  <dimension ref="A1:H11"/>
  <sheetViews>
    <sheetView workbookViewId="0">
      <selection activeCell="B2" sqref="B2:B11"/>
    </sheetView>
  </sheetViews>
  <sheetFormatPr baseColWidth="10" defaultColWidth="9.140625" defaultRowHeight="15" x14ac:dyDescent="0.25"/>
  <cols>
    <col min="1" max="2" width="13.5703125" customWidth="1"/>
    <col min="4" max="4" width="11.5703125" customWidth="1"/>
    <col min="5" max="5" width="40.7109375" bestFit="1" customWidth="1"/>
    <col min="6" max="6" width="15.5703125" bestFit="1" customWidth="1"/>
  </cols>
  <sheetData>
    <row r="1" spans="1:8" x14ac:dyDescent="0.25">
      <c r="A1" s="1" t="s">
        <v>0</v>
      </c>
      <c r="B1" s="1" t="s">
        <v>25</v>
      </c>
      <c r="C1" s="1" t="s">
        <v>26</v>
      </c>
      <c r="D1" s="1" t="s">
        <v>1</v>
      </c>
      <c r="E1" s="1" t="s">
        <v>4</v>
      </c>
      <c r="F1" s="1" t="s">
        <v>27</v>
      </c>
      <c r="G1" s="1" t="s">
        <v>29</v>
      </c>
      <c r="H1" s="1" t="s">
        <v>30</v>
      </c>
    </row>
    <row r="2" spans="1:8" x14ac:dyDescent="0.25">
      <c r="A2" t="str">
        <f>'DOU1-2'!A2</f>
        <v>Mulching</v>
      </c>
      <c r="B2" t="s">
        <v>39</v>
      </c>
      <c r="C2">
        <f>'DOU1-2'!C2</f>
        <v>0</v>
      </c>
      <c r="D2" s="3">
        <f>'DOU1-2'!D2</f>
        <v>1238</v>
      </c>
      <c r="E2" t="str">
        <f>'DOU1-2'!E2</f>
        <v>moyenne fed. Expert</v>
      </c>
      <c r="F2" t="s">
        <v>32</v>
      </c>
      <c r="H2" s="2"/>
    </row>
    <row r="3" spans="1:8" x14ac:dyDescent="0.25">
      <c r="A3" t="str">
        <f>'DOU1-2'!A3</f>
        <v>Seedlings</v>
      </c>
      <c r="B3" t="s">
        <v>39</v>
      </c>
      <c r="C3">
        <f>'DOU1-2'!C3</f>
        <v>0</v>
      </c>
      <c r="D3" s="3">
        <f>'DOU1-2'!D3</f>
        <v>1040</v>
      </c>
      <c r="E3" t="str">
        <f>'DOU1-2'!E3</f>
        <v>moyenne fed. Expert</v>
      </c>
      <c r="F3" t="s">
        <v>32</v>
      </c>
      <c r="G3">
        <f>'DOU1-2'!G3</f>
        <v>2000</v>
      </c>
      <c r="H3" s="2">
        <f>'DOU1-2'!H3</f>
        <v>0.52</v>
      </c>
    </row>
    <row r="4" spans="1:8" x14ac:dyDescent="0.25">
      <c r="A4" t="str">
        <f>'DOU1-2'!A4</f>
        <v>Planting</v>
      </c>
      <c r="B4" t="s">
        <v>39</v>
      </c>
      <c r="C4">
        <f>'DOU1-2'!C4</f>
        <v>0</v>
      </c>
      <c r="D4" s="3">
        <f>'DOU1-2'!D4</f>
        <v>929.06666666666683</v>
      </c>
      <c r="E4" t="str">
        <f>'DOU1-2'!E4</f>
        <v>arbo plant corrigé pour la différence d'année</v>
      </c>
      <c r="F4" t="s">
        <v>32</v>
      </c>
      <c r="G4">
        <f>'DOU1-2'!G4</f>
        <v>2000</v>
      </c>
      <c r="H4" s="2">
        <f>'DOU1-2'!H4</f>
        <v>0.46453333333333341</v>
      </c>
    </row>
    <row r="5" spans="1:8" x14ac:dyDescent="0.25">
      <c r="A5" t="str">
        <f>'DOU1-2'!A5</f>
        <v>Clearing</v>
      </c>
      <c r="B5" t="s">
        <v>39</v>
      </c>
      <c r="C5">
        <f>'DOU1-2'!C5</f>
        <v>3</v>
      </c>
      <c r="D5" s="3">
        <f>'DOU1-2'!D5</f>
        <v>943.5</v>
      </c>
      <c r="E5" t="str">
        <f>'DOU1-2'!E5</f>
        <v>moyenne fed. Expert</v>
      </c>
      <c r="F5" t="s">
        <v>32</v>
      </c>
      <c r="H5" s="2"/>
    </row>
    <row r="6" spans="1:8" x14ac:dyDescent="0.25">
      <c r="A6" t="str">
        <f>'DOU1-2'!A6</f>
        <v>Pruning</v>
      </c>
      <c r="B6" t="s">
        <v>39</v>
      </c>
      <c r="C6" s="4">
        <f>'DOU1-2'!C6+3</f>
        <v>18</v>
      </c>
      <c r="D6" s="3">
        <f>'DOU1-2'!D6</f>
        <v>2032</v>
      </c>
      <c r="F6" t="s">
        <v>32</v>
      </c>
      <c r="H6" s="2"/>
    </row>
    <row r="7" spans="1:8" x14ac:dyDescent="0.25">
      <c r="A7" t="str">
        <f>A3</f>
        <v>Seedlings</v>
      </c>
      <c r="B7" t="s">
        <v>39</v>
      </c>
      <c r="C7" s="4">
        <v>3</v>
      </c>
      <c r="D7" s="3">
        <f>G7*H7</f>
        <v>520</v>
      </c>
      <c r="G7" s="4">
        <v>1000</v>
      </c>
      <c r="H7" s="2">
        <f>H3</f>
        <v>0.52</v>
      </c>
    </row>
    <row r="8" spans="1:8" x14ac:dyDescent="0.25">
      <c r="A8" t="str">
        <f>A4</f>
        <v>Planting</v>
      </c>
      <c r="B8" t="s">
        <v>39</v>
      </c>
      <c r="C8" s="4">
        <v>3</v>
      </c>
      <c r="D8" s="3">
        <f>G8*H8</f>
        <v>464.53333333333342</v>
      </c>
      <c r="G8" s="4">
        <v>1000</v>
      </c>
      <c r="H8" s="2">
        <f>H4</f>
        <v>0.46453333333333341</v>
      </c>
    </row>
    <row r="9" spans="1:8" x14ac:dyDescent="0.25">
      <c r="A9" t="str">
        <f>A5</f>
        <v>Clearing</v>
      </c>
      <c r="B9" t="s">
        <v>39</v>
      </c>
      <c r="C9" s="4">
        <v>3</v>
      </c>
      <c r="D9" s="3">
        <v>944</v>
      </c>
      <c r="G9" s="4"/>
      <c r="H9" s="2"/>
    </row>
    <row r="10" spans="1:8" x14ac:dyDescent="0.25">
      <c r="A10" t="str">
        <f>A5</f>
        <v>Clearing</v>
      </c>
      <c r="B10" t="s">
        <v>39</v>
      </c>
      <c r="C10" s="4">
        <v>4</v>
      </c>
      <c r="D10" s="3">
        <v>944</v>
      </c>
      <c r="G10" s="4"/>
      <c r="H10" s="2"/>
    </row>
    <row r="11" spans="1:8" x14ac:dyDescent="0.25">
      <c r="A11" t="str">
        <f>A5</f>
        <v>Clearing</v>
      </c>
      <c r="B11" t="s">
        <v>39</v>
      </c>
      <c r="C11" s="4">
        <v>5</v>
      </c>
      <c r="D11" s="3">
        <v>944</v>
      </c>
      <c r="E11" t="s">
        <v>2</v>
      </c>
      <c r="H1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2595E-72BF-49C4-A675-9458ED45C563}">
  <dimension ref="A1:F6"/>
  <sheetViews>
    <sheetView workbookViewId="0">
      <selection activeCell="B2" sqref="B2:B6"/>
    </sheetView>
  </sheetViews>
  <sheetFormatPr baseColWidth="10" defaultColWidth="9.140625" defaultRowHeight="15" x14ac:dyDescent="0.25"/>
  <cols>
    <col min="1" max="1" width="14.28515625" customWidth="1"/>
    <col min="2" max="2" width="13.85546875" customWidth="1"/>
    <col min="3" max="3" width="10.28515625" customWidth="1"/>
    <col min="4" max="4" width="17.42578125" customWidth="1"/>
    <col min="5" max="5" width="41" bestFit="1" customWidth="1"/>
    <col min="6" max="6" width="22.42578125" customWidth="1"/>
  </cols>
  <sheetData>
    <row r="1" spans="1:6" s="1" customFormat="1" x14ac:dyDescent="0.25">
      <c r="A1" s="1" t="str">
        <f>'DOU1-2'!A1</f>
        <v>label</v>
      </c>
      <c r="B1" s="1" t="s">
        <v>25</v>
      </c>
      <c r="C1" s="1" t="s">
        <v>26</v>
      </c>
      <c r="D1" s="1" t="str">
        <f>'DOU1-2'!D1</f>
        <v>cost</v>
      </c>
      <c r="E1" s="1" t="str">
        <f>'DOU1-2'!E1</f>
        <v>source</v>
      </c>
      <c r="F1" s="1" t="s">
        <v>27</v>
      </c>
    </row>
    <row r="2" spans="1:6" x14ac:dyDescent="0.25">
      <c r="A2" t="str">
        <f>'DOU1-2'!A2</f>
        <v>Mulching</v>
      </c>
      <c r="B2" t="s">
        <v>39</v>
      </c>
      <c r="C2">
        <f>'DOU1-2'!C2</f>
        <v>0</v>
      </c>
      <c r="D2">
        <f>'DOU1-2'!D2</f>
        <v>1238</v>
      </c>
      <c r="E2" t="str">
        <f>'DOU1-2'!E2</f>
        <v>moyenne fed. Expert</v>
      </c>
      <c r="F2" t="s">
        <v>28</v>
      </c>
    </row>
    <row r="3" spans="1:6" x14ac:dyDescent="0.25">
      <c r="A3" t="str">
        <f>'DOU1-2'!A3</f>
        <v>Seedlings</v>
      </c>
      <c r="B3" t="s">
        <v>39</v>
      </c>
      <c r="C3">
        <f>'DOU1-2'!C3</f>
        <v>0</v>
      </c>
      <c r="D3">
        <f>'DOU1-2'!D3</f>
        <v>1040</v>
      </c>
      <c r="E3" t="str">
        <f>'DOU1-2'!E3</f>
        <v>moyenne fed. Expert</v>
      </c>
      <c r="F3" t="s">
        <v>28</v>
      </c>
    </row>
    <row r="4" spans="1:6" x14ac:dyDescent="0.25">
      <c r="A4" t="str">
        <f>'DOU1-2'!A4</f>
        <v>Planting</v>
      </c>
      <c r="B4" t="s">
        <v>39</v>
      </c>
      <c r="C4">
        <f>'DOU1-2'!C4</f>
        <v>0</v>
      </c>
      <c r="D4">
        <f>'DOU1-2'!D4</f>
        <v>929.06666666666683</v>
      </c>
      <c r="E4" t="str">
        <f>'DOU1-2'!E4</f>
        <v>arbo plant corrigé pour la différence d'année</v>
      </c>
      <c r="F4" t="s">
        <v>28</v>
      </c>
    </row>
    <row r="5" spans="1:6" x14ac:dyDescent="0.25">
      <c r="A5" t="str">
        <f>'DOU1-2'!A5</f>
        <v>Clearing</v>
      </c>
      <c r="B5" t="s">
        <v>39</v>
      </c>
      <c r="C5">
        <f>'DOU1-2'!C5</f>
        <v>3</v>
      </c>
      <c r="D5">
        <f>'DOU1-2'!D5</f>
        <v>943.5</v>
      </c>
      <c r="E5" t="str">
        <f>'DOU1-2'!E5</f>
        <v>moyenne fed. Expert</v>
      </c>
      <c r="F5" t="s">
        <v>28</v>
      </c>
    </row>
    <row r="6" spans="1:6" x14ac:dyDescent="0.25">
      <c r="A6" t="str">
        <f>'DOU1-2'!A6</f>
        <v>Pruning</v>
      </c>
      <c r="B6" t="s">
        <v>39</v>
      </c>
      <c r="C6" s="4">
        <v>22</v>
      </c>
      <c r="D6">
        <f>'DOU1-2'!D6</f>
        <v>2032</v>
      </c>
      <c r="F6" t="s">
        <v>28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432F6-C75B-4197-8917-04E9D40BAFA6}">
  <dimension ref="A1:H8"/>
  <sheetViews>
    <sheetView workbookViewId="0">
      <selection activeCell="B2" sqref="B2:B8"/>
    </sheetView>
  </sheetViews>
  <sheetFormatPr baseColWidth="10" defaultColWidth="9.140625" defaultRowHeight="15" x14ac:dyDescent="0.25"/>
  <cols>
    <col min="1" max="1" width="26.85546875" customWidth="1"/>
    <col min="2" max="2" width="17.5703125" customWidth="1"/>
    <col min="5" max="5" width="41" bestFit="1" customWidth="1"/>
    <col min="6" max="6" width="15.7109375" customWidth="1"/>
    <col min="7" max="7" width="14.28515625" customWidth="1"/>
    <col min="8" max="8" width="18.7109375" bestFit="1" customWidth="1"/>
  </cols>
  <sheetData>
    <row r="1" spans="1:8" s="1" customFormat="1" x14ac:dyDescent="0.25">
      <c r="A1" s="1" t="str">
        <f>'SPR1-2'!A1</f>
        <v>label</v>
      </c>
      <c r="B1" s="1" t="s">
        <v>25</v>
      </c>
      <c r="C1" s="1" t="str">
        <f>'SPR1-2'!C1</f>
        <v>year</v>
      </c>
      <c r="D1" s="1" t="str">
        <f>'SPR1-2'!D1</f>
        <v>cost</v>
      </c>
      <c r="E1" s="1" t="str">
        <f>'SPR1-2'!E1</f>
        <v>source</v>
      </c>
      <c r="F1" s="1" t="str">
        <f>'SPR1-2'!F1</f>
        <v>comment</v>
      </c>
      <c r="G1" s="1" t="s">
        <v>29</v>
      </c>
      <c r="H1" s="1" t="s">
        <v>30</v>
      </c>
    </row>
    <row r="2" spans="1:8" x14ac:dyDescent="0.25">
      <c r="A2" t="str">
        <f>'SPR1-2'!A2</f>
        <v>Mulching</v>
      </c>
      <c r="B2" t="s">
        <v>39</v>
      </c>
      <c r="C2">
        <v>2</v>
      </c>
      <c r="D2">
        <v>1526</v>
      </c>
      <c r="E2" t="s">
        <v>5</v>
      </c>
    </row>
    <row r="3" spans="1:8" x14ac:dyDescent="0.25">
      <c r="A3" t="str">
        <f>'SPR1-2'!A3</f>
        <v>Seedlings</v>
      </c>
      <c r="B3" t="s">
        <v>39</v>
      </c>
      <c r="C3">
        <v>2</v>
      </c>
      <c r="D3">
        <f>'SPR1-2'!D3</f>
        <v>1040</v>
      </c>
      <c r="E3" t="str">
        <f>'SPR1-2'!E3</f>
        <v>moyenne fed. Expert</v>
      </c>
      <c r="F3" t="s">
        <v>31</v>
      </c>
    </row>
    <row r="4" spans="1:8" x14ac:dyDescent="0.25">
      <c r="A4" t="str">
        <f>'SPR1-2'!A4</f>
        <v>Planting</v>
      </c>
      <c r="B4" t="s">
        <v>39</v>
      </c>
      <c r="C4">
        <v>2</v>
      </c>
      <c r="D4">
        <f>'SPR1-2'!D4</f>
        <v>929.06666666666683</v>
      </c>
      <c r="E4" t="str">
        <f>'SPR1-2'!E4</f>
        <v>arbo plant corrigé pour la différence d'année</v>
      </c>
      <c r="F4" t="s">
        <v>31</v>
      </c>
    </row>
    <row r="5" spans="1:8" x14ac:dyDescent="0.25">
      <c r="A5" t="s">
        <v>13</v>
      </c>
      <c r="B5" t="s">
        <v>39</v>
      </c>
      <c r="C5">
        <v>2</v>
      </c>
      <c r="D5">
        <f>H5*G5</f>
        <v>300</v>
      </c>
      <c r="E5" t="str">
        <f>'SPR1-2'!E5</f>
        <v>moyenne fed. Expert</v>
      </c>
      <c r="G5">
        <v>2000</v>
      </c>
      <c r="H5">
        <v>0.15</v>
      </c>
    </row>
    <row r="6" spans="1:8" x14ac:dyDescent="0.25">
      <c r="A6" t="s">
        <v>11</v>
      </c>
      <c r="B6" t="s">
        <v>39</v>
      </c>
      <c r="C6">
        <v>4</v>
      </c>
      <c r="D6">
        <v>943.5</v>
      </c>
      <c r="E6" t="str">
        <f>'SPR1-2'!E4</f>
        <v>arbo plant corrigé pour la différence d'année</v>
      </c>
    </row>
    <row r="7" spans="1:8" ht="14.25" customHeight="1" x14ac:dyDescent="0.25">
      <c r="A7" t="s">
        <v>11</v>
      </c>
      <c r="B7" t="s">
        <v>39</v>
      </c>
      <c r="C7">
        <v>5</v>
      </c>
      <c r="D7">
        <f>'SPR1-2'!D5</f>
        <v>943.5</v>
      </c>
      <c r="E7" t="str">
        <f>'SPR1-2'!E5</f>
        <v>moyenne fed. Expert</v>
      </c>
    </row>
    <row r="8" spans="1:8" x14ac:dyDescent="0.25">
      <c r="A8" t="str">
        <f>'SPR1-2'!A6</f>
        <v>Pruning</v>
      </c>
      <c r="B8" t="s">
        <v>39</v>
      </c>
      <c r="C8" s="4">
        <f>'SPR1-2'!C6+2</f>
        <v>24</v>
      </c>
      <c r="D8">
        <f>'SPR1-2'!D6</f>
        <v>2032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FBDD-FD36-4D6E-B39F-0A561EC06802}">
  <dimension ref="A1:M17"/>
  <sheetViews>
    <sheetView workbookViewId="0">
      <selection activeCell="B2" sqref="B2:B10"/>
    </sheetView>
  </sheetViews>
  <sheetFormatPr baseColWidth="10" defaultColWidth="37.28515625" defaultRowHeight="15" x14ac:dyDescent="0.25"/>
  <cols>
    <col min="1" max="1" width="38.28515625" bestFit="1" customWidth="1"/>
    <col min="2" max="2" width="10.140625" bestFit="1" customWidth="1"/>
    <col min="3" max="3" width="4.85546875" bestFit="1" customWidth="1"/>
    <col min="4" max="4" width="6" bestFit="1" customWidth="1"/>
    <col min="5" max="5" width="35.5703125" bestFit="1" customWidth="1"/>
    <col min="6" max="6" width="15.28515625" bestFit="1" customWidth="1"/>
    <col min="7" max="7" width="16.28515625" bestFit="1" customWidth="1"/>
    <col min="8" max="8" width="12.5703125" bestFit="1" customWidth="1"/>
    <col min="9" max="9" width="13" bestFit="1" customWidth="1"/>
    <col min="10" max="10" width="18.140625" bestFit="1" customWidth="1"/>
    <col min="11" max="11" width="18.5703125" bestFit="1" customWidth="1"/>
    <col min="12" max="12" width="11.5703125" bestFit="1" customWidth="1"/>
    <col min="13" max="13" width="18.7109375" bestFit="1" customWidth="1"/>
  </cols>
  <sheetData>
    <row r="1" spans="1:11" x14ac:dyDescent="0.25">
      <c r="A1" s="1" t="str">
        <f>'SPR1-2'!A1</f>
        <v>label</v>
      </c>
      <c r="B1" s="1" t="s">
        <v>25</v>
      </c>
      <c r="C1" s="1" t="str">
        <f>'SPR1-2'!C1</f>
        <v>year</v>
      </c>
      <c r="D1" s="1" t="str">
        <f>'SPR1-2'!D1</f>
        <v>cost</v>
      </c>
      <c r="E1" s="1" t="str">
        <f>'SPR1-2'!E1</f>
        <v>source</v>
      </c>
      <c r="F1" s="1" t="s">
        <v>27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</row>
    <row r="2" spans="1:11" x14ac:dyDescent="0.25">
      <c r="A2" t="s">
        <v>14</v>
      </c>
      <c r="B2" t="s">
        <v>39</v>
      </c>
      <c r="C2">
        <v>2</v>
      </c>
      <c r="D2">
        <f>J2*H2+I2*K2</f>
        <v>300</v>
      </c>
      <c r="E2" t="s">
        <v>6</v>
      </c>
      <c r="G2">
        <v>0.25</v>
      </c>
      <c r="I2">
        <v>3</v>
      </c>
      <c r="J2">
        <f t="shared" ref="J2:J8" si="0">(33+44)/2</f>
        <v>38.5</v>
      </c>
      <c r="K2">
        <v>100</v>
      </c>
    </row>
    <row r="3" spans="1:11" x14ac:dyDescent="0.25">
      <c r="A3" t="s">
        <v>15</v>
      </c>
      <c r="B3" t="s">
        <v>39</v>
      </c>
      <c r="C3">
        <v>2</v>
      </c>
      <c r="D3">
        <f>'OAK1-2'!D5</f>
        <v>400</v>
      </c>
      <c r="F3" t="s">
        <v>38</v>
      </c>
    </row>
    <row r="4" spans="1:11" x14ac:dyDescent="0.25">
      <c r="A4" t="str">
        <f>A3</f>
        <v>Clearing (bramble)</v>
      </c>
      <c r="B4" t="s">
        <v>39</v>
      </c>
      <c r="C4">
        <v>4</v>
      </c>
      <c r="D4">
        <f>D3</f>
        <v>400</v>
      </c>
      <c r="F4" t="s">
        <v>38</v>
      </c>
    </row>
    <row r="5" spans="1:11" x14ac:dyDescent="0.25">
      <c r="A5" t="s">
        <v>16</v>
      </c>
      <c r="B5" t="s">
        <v>39</v>
      </c>
      <c r="C5">
        <v>5</v>
      </c>
      <c r="D5">
        <f>J5*H5+I5*K5</f>
        <v>300</v>
      </c>
      <c r="E5" t="s">
        <v>6</v>
      </c>
      <c r="G5">
        <v>0.8</v>
      </c>
      <c r="I5">
        <v>3</v>
      </c>
      <c r="J5">
        <f t="shared" si="0"/>
        <v>38.5</v>
      </c>
      <c r="K5">
        <v>100</v>
      </c>
    </row>
    <row r="6" spans="1:11" x14ac:dyDescent="0.25">
      <c r="A6" t="s">
        <v>17</v>
      </c>
      <c r="B6" t="s">
        <v>39</v>
      </c>
      <c r="C6">
        <v>5</v>
      </c>
      <c r="D6">
        <f>'OAK1-2'!D7</f>
        <v>192.5</v>
      </c>
      <c r="F6" t="s">
        <v>38</v>
      </c>
    </row>
    <row r="7" spans="1:11" x14ac:dyDescent="0.25">
      <c r="A7" t="str">
        <f>A6</f>
        <v>Clearing (herbaceous + ligneous)</v>
      </c>
      <c r="B7" t="s">
        <v>39</v>
      </c>
      <c r="C7">
        <v>7</v>
      </c>
      <c r="D7">
        <f>D6</f>
        <v>192.5</v>
      </c>
      <c r="F7" t="s">
        <v>38</v>
      </c>
    </row>
    <row r="8" spans="1:11" x14ac:dyDescent="0.25">
      <c r="A8" t="s">
        <v>16</v>
      </c>
      <c r="B8" t="s">
        <v>39</v>
      </c>
      <c r="C8">
        <v>10</v>
      </c>
      <c r="D8">
        <f>J8*H8+I8*K8</f>
        <v>150</v>
      </c>
      <c r="E8" t="s">
        <v>6</v>
      </c>
      <c r="G8">
        <v>3</v>
      </c>
      <c r="I8">
        <v>1.5</v>
      </c>
      <c r="J8">
        <f t="shared" si="0"/>
        <v>38.5</v>
      </c>
      <c r="K8">
        <v>100</v>
      </c>
    </row>
    <row r="9" spans="1:11" x14ac:dyDescent="0.25">
      <c r="A9" t="s">
        <v>18</v>
      </c>
      <c r="B9" t="s">
        <v>39</v>
      </c>
      <c r="C9">
        <v>11</v>
      </c>
      <c r="D9">
        <f>'OAK1-2'!D9</f>
        <v>115.5</v>
      </c>
      <c r="F9" t="s">
        <v>38</v>
      </c>
    </row>
    <row r="10" spans="1:11" x14ac:dyDescent="0.25">
      <c r="A10" t="str">
        <f>A9</f>
        <v>Clearing (ligneous)</v>
      </c>
      <c r="B10" t="s">
        <v>39</v>
      </c>
      <c r="C10">
        <v>20</v>
      </c>
      <c r="D10">
        <f>D9</f>
        <v>115.5</v>
      </c>
      <c r="F10" t="s">
        <v>38</v>
      </c>
    </row>
    <row r="17" spans="12:13" x14ac:dyDescent="0.25">
      <c r="L17" s="1"/>
      <c r="M1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B7730-2615-4CFA-BC7C-54A9CB9693B7}">
  <dimension ref="A1:H13"/>
  <sheetViews>
    <sheetView workbookViewId="0">
      <selection activeCell="B2" sqref="B2:B13"/>
    </sheetView>
  </sheetViews>
  <sheetFormatPr baseColWidth="10" defaultColWidth="9.140625" defaultRowHeight="15" x14ac:dyDescent="0.25"/>
  <cols>
    <col min="1" max="1" width="37.42578125" customWidth="1"/>
    <col min="2" max="2" width="17.7109375" customWidth="1"/>
    <col min="4" max="4" width="16.5703125" customWidth="1"/>
    <col min="5" max="6" width="26.85546875" customWidth="1"/>
    <col min="7" max="7" width="11.5703125" bestFit="1" customWidth="1"/>
    <col min="8" max="8" width="18.7109375" bestFit="1" customWidth="1"/>
  </cols>
  <sheetData>
    <row r="1" spans="1:8" x14ac:dyDescent="0.25">
      <c r="A1" s="1" t="str">
        <f>'SPR1-2'!A1</f>
        <v>label</v>
      </c>
      <c r="B1" s="1" t="s">
        <v>25</v>
      </c>
      <c r="C1" s="1" t="str">
        <f>'SPR1-2'!C1</f>
        <v>year</v>
      </c>
      <c r="D1" s="1" t="str">
        <f>'SPR1-2'!D1</f>
        <v>cost</v>
      </c>
      <c r="E1" s="1" t="str">
        <f>'SPR1-2'!E1</f>
        <v>source</v>
      </c>
      <c r="F1" s="1" t="s">
        <v>27</v>
      </c>
      <c r="G1" s="1" t="s">
        <v>29</v>
      </c>
      <c r="H1" s="1" t="s">
        <v>30</v>
      </c>
    </row>
    <row r="2" spans="1:8" x14ac:dyDescent="0.25">
      <c r="A2" t="str">
        <f>'OAK_SHLTR1-2'!A2</f>
        <v>Silvicultural access paths (creation)</v>
      </c>
      <c r="B2" t="s">
        <v>39</v>
      </c>
      <c r="C2">
        <v>2</v>
      </c>
      <c r="D2">
        <f>'OAK_SHLTR1-2'!D2</f>
        <v>300</v>
      </c>
      <c r="E2" t="s">
        <v>19</v>
      </c>
      <c r="F2" t="s">
        <v>38</v>
      </c>
    </row>
    <row r="3" spans="1:8" x14ac:dyDescent="0.25">
      <c r="A3" t="str">
        <f>'DOU1-2'!A2</f>
        <v>Mulching</v>
      </c>
      <c r="B3" t="s">
        <v>39</v>
      </c>
      <c r="C3">
        <v>2</v>
      </c>
      <c r="D3">
        <f>'DOU1-2'!D2</f>
        <v>1238</v>
      </c>
      <c r="E3" t="s">
        <v>20</v>
      </c>
      <c r="F3" t="s">
        <v>32</v>
      </c>
    </row>
    <row r="4" spans="1:8" x14ac:dyDescent="0.25">
      <c r="A4" t="str">
        <f>'DOU1-2'!A3</f>
        <v>Seedlings</v>
      </c>
      <c r="B4" t="s">
        <v>39</v>
      </c>
      <c r="C4">
        <v>2</v>
      </c>
      <c r="D4">
        <f>H4*G4</f>
        <v>780</v>
      </c>
      <c r="G4">
        <v>1500</v>
      </c>
      <c r="H4">
        <v>0.52</v>
      </c>
    </row>
    <row r="5" spans="1:8" x14ac:dyDescent="0.25">
      <c r="A5" t="str">
        <f>'DOU1-2'!A4</f>
        <v>Planting</v>
      </c>
      <c r="B5" t="s">
        <v>39</v>
      </c>
      <c r="C5">
        <v>2</v>
      </c>
      <c r="D5" s="3">
        <f>H5*G5</f>
        <v>696.80000000000007</v>
      </c>
      <c r="G5">
        <v>1500</v>
      </c>
      <c r="H5" s="2">
        <v>0.46453333333333341</v>
      </c>
    </row>
    <row r="6" spans="1:8" x14ac:dyDescent="0.25">
      <c r="A6" t="str">
        <f>'OAK_SHLTR1-2'!A3</f>
        <v>Clearing (bramble)</v>
      </c>
      <c r="B6" t="s">
        <v>39</v>
      </c>
      <c r="C6">
        <v>2</v>
      </c>
      <c r="D6">
        <f>'OAK_SHLTR1-2'!D3</f>
        <v>400</v>
      </c>
      <c r="E6" t="s">
        <v>19</v>
      </c>
    </row>
    <row r="7" spans="1:8" x14ac:dyDescent="0.25">
      <c r="A7" t="str">
        <f>A6</f>
        <v>Clearing (bramble)</v>
      </c>
      <c r="B7" t="s">
        <v>39</v>
      </c>
      <c r="C7">
        <v>4</v>
      </c>
      <c r="D7">
        <f>D6</f>
        <v>400</v>
      </c>
      <c r="E7" t="s">
        <v>19</v>
      </c>
    </row>
    <row r="8" spans="1:8" x14ac:dyDescent="0.25">
      <c r="A8" t="str">
        <f>'OAK_SHLTR1-2'!A5</f>
        <v>Silvicultural access paths (maintainance)</v>
      </c>
      <c r="B8" t="s">
        <v>39</v>
      </c>
      <c r="C8">
        <v>5</v>
      </c>
      <c r="D8">
        <f>'OAK_SHLTR1-2'!D5</f>
        <v>300</v>
      </c>
      <c r="E8" t="s">
        <v>19</v>
      </c>
    </row>
    <row r="9" spans="1:8" x14ac:dyDescent="0.25">
      <c r="A9" t="str">
        <f>'OAK_SHLTR1-2'!A6</f>
        <v>Clearing (herbaceous + ligneous)</v>
      </c>
      <c r="B9" t="s">
        <v>39</v>
      </c>
      <c r="C9">
        <v>5</v>
      </c>
      <c r="D9">
        <f>'OAK_SHLTR1-2'!D6</f>
        <v>192.5</v>
      </c>
      <c r="E9" t="s">
        <v>19</v>
      </c>
    </row>
    <row r="10" spans="1:8" x14ac:dyDescent="0.25">
      <c r="A10" t="str">
        <f>A9</f>
        <v>Clearing (herbaceous + ligneous)</v>
      </c>
      <c r="B10" t="s">
        <v>39</v>
      </c>
      <c r="C10">
        <v>7</v>
      </c>
      <c r="D10">
        <f>'OAK_SHLTR1-2'!D7</f>
        <v>192.5</v>
      </c>
      <c r="E10" t="s">
        <v>19</v>
      </c>
    </row>
    <row r="11" spans="1:8" x14ac:dyDescent="0.25">
      <c r="A11" t="str">
        <f>A8</f>
        <v>Silvicultural access paths (maintainance)</v>
      </c>
      <c r="B11" t="s">
        <v>39</v>
      </c>
      <c r="C11">
        <v>10</v>
      </c>
      <c r="D11">
        <f>'OAK_SHLTR1-2'!D8</f>
        <v>150</v>
      </c>
      <c r="E11" t="s">
        <v>19</v>
      </c>
    </row>
    <row r="12" spans="1:8" x14ac:dyDescent="0.25">
      <c r="A12" t="str">
        <f>'OAK_SHLTR1-2'!A9</f>
        <v>Clearing (ligneous)</v>
      </c>
      <c r="B12" t="s">
        <v>39</v>
      </c>
      <c r="C12">
        <v>11</v>
      </c>
      <c r="D12">
        <f>'OAK_SHLTR1-2'!D9</f>
        <v>115.5</v>
      </c>
      <c r="E12" t="s">
        <v>19</v>
      </c>
    </row>
    <row r="13" spans="1:8" x14ac:dyDescent="0.25">
      <c r="A13" t="str">
        <f>A12</f>
        <v>Clearing (ligneous)</v>
      </c>
      <c r="B13" t="s">
        <v>39</v>
      </c>
      <c r="C13">
        <v>20</v>
      </c>
      <c r="D13">
        <f>D12</f>
        <v>115.5</v>
      </c>
      <c r="E13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CEAE-D84D-4925-8923-35CE6C3F999C}">
  <dimension ref="A1:M10"/>
  <sheetViews>
    <sheetView workbookViewId="0">
      <selection activeCell="B2" sqref="B2:B10"/>
    </sheetView>
  </sheetViews>
  <sheetFormatPr baseColWidth="10" defaultColWidth="9.140625" defaultRowHeight="15" x14ac:dyDescent="0.25"/>
  <cols>
    <col min="1" max="1" width="32.7109375" customWidth="1"/>
    <col min="2" max="2" width="14" customWidth="1"/>
    <col min="4" max="4" width="13.28515625" customWidth="1"/>
    <col min="5" max="5" width="45.85546875" customWidth="1"/>
    <col min="6" max="6" width="17.140625" customWidth="1"/>
    <col min="7" max="7" width="18.7109375" customWidth="1"/>
    <col min="8" max="8" width="14.85546875" customWidth="1"/>
    <col min="9" max="9" width="16.28515625" customWidth="1"/>
    <col min="10" max="10" width="20.5703125" customWidth="1"/>
    <col min="11" max="11" width="21.7109375" customWidth="1"/>
    <col min="12" max="12" width="13.7109375" customWidth="1"/>
    <col min="13" max="13" width="20.42578125" customWidth="1"/>
  </cols>
  <sheetData>
    <row r="1" spans="1:13" x14ac:dyDescent="0.25">
      <c r="A1" s="1" t="str">
        <f>'SPR1-2'!A1</f>
        <v>label</v>
      </c>
      <c r="B1" s="1" t="s">
        <v>25</v>
      </c>
      <c r="C1" s="1" t="str">
        <f>'SPR1-2'!C1</f>
        <v>year</v>
      </c>
      <c r="D1" s="1" t="str">
        <f>'SPR1-2'!D1</f>
        <v>cost</v>
      </c>
      <c r="E1" s="1" t="str">
        <f>'SPR1-2'!E1</f>
        <v>source</v>
      </c>
      <c r="F1" s="1" t="s">
        <v>27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29</v>
      </c>
      <c r="M1" s="1" t="s">
        <v>30</v>
      </c>
    </row>
    <row r="2" spans="1:13" x14ac:dyDescent="0.25">
      <c r="A2" t="str">
        <f>OAK_SHLTR3!A3</f>
        <v>Mulching</v>
      </c>
      <c r="B2" t="s">
        <v>39</v>
      </c>
      <c r="C2">
        <v>0</v>
      </c>
      <c r="D2">
        <f>'DOU1-2'!D2</f>
        <v>1238</v>
      </c>
      <c r="E2" t="s">
        <v>7</v>
      </c>
      <c r="F2" t="s">
        <v>32</v>
      </c>
      <c r="I2" s="5">
        <v>5</v>
      </c>
      <c r="J2" s="5">
        <f t="shared" ref="J2:J10" si="0">(33+44)/2</f>
        <v>38.5</v>
      </c>
      <c r="K2" s="5">
        <v>100</v>
      </c>
    </row>
    <row r="3" spans="1:13" x14ac:dyDescent="0.25">
      <c r="A3" t="str">
        <f>OAK_SHLTR3!A4</f>
        <v>Seedlings</v>
      </c>
      <c r="B3" t="s">
        <v>39</v>
      </c>
      <c r="C3">
        <v>0</v>
      </c>
      <c r="D3">
        <f>M3*L3</f>
        <v>780</v>
      </c>
      <c r="E3" t="s">
        <v>7</v>
      </c>
      <c r="I3" s="5"/>
      <c r="J3" s="5">
        <f t="shared" si="0"/>
        <v>38.5</v>
      </c>
      <c r="K3" s="5">
        <v>100</v>
      </c>
      <c r="L3" s="4">
        <v>1500</v>
      </c>
      <c r="M3">
        <v>0.52</v>
      </c>
    </row>
    <row r="4" spans="1:13" x14ac:dyDescent="0.25">
      <c r="A4" t="str">
        <f>OAK_SHLTR3!A5</f>
        <v>Planting</v>
      </c>
      <c r="B4" t="s">
        <v>39</v>
      </c>
      <c r="C4">
        <v>0</v>
      </c>
      <c r="D4" s="3">
        <f>M4*L4</f>
        <v>696.80000000000007</v>
      </c>
      <c r="E4" t="s">
        <v>3</v>
      </c>
      <c r="I4" s="5"/>
      <c r="J4" s="5">
        <f t="shared" si="0"/>
        <v>38.5</v>
      </c>
      <c r="K4" s="5">
        <v>100</v>
      </c>
      <c r="L4" s="4">
        <v>1500</v>
      </c>
      <c r="M4" s="2">
        <v>0.46453333333333341</v>
      </c>
    </row>
    <row r="5" spans="1:13" x14ac:dyDescent="0.25">
      <c r="A5" t="str">
        <f>OAK_SHLTR3!A6</f>
        <v>Clearing (bramble)</v>
      </c>
      <c r="B5" t="s">
        <v>39</v>
      </c>
      <c r="C5">
        <v>2</v>
      </c>
      <c r="D5">
        <f t="shared" ref="D5:D10" si="1">I5*K5+H5*J5</f>
        <v>400</v>
      </c>
      <c r="E5" t="s">
        <v>8</v>
      </c>
      <c r="G5">
        <v>0.3</v>
      </c>
      <c r="I5" s="4">
        <v>4</v>
      </c>
      <c r="J5">
        <f t="shared" si="0"/>
        <v>38.5</v>
      </c>
      <c r="K5" s="4">
        <v>100</v>
      </c>
    </row>
    <row r="6" spans="1:13" x14ac:dyDescent="0.25">
      <c r="A6" t="str">
        <f>A5</f>
        <v>Clearing (bramble)</v>
      </c>
      <c r="B6" t="s">
        <v>39</v>
      </c>
      <c r="C6">
        <v>4</v>
      </c>
      <c r="D6">
        <f t="shared" si="1"/>
        <v>400</v>
      </c>
      <c r="E6" t="s">
        <v>8</v>
      </c>
      <c r="G6">
        <v>0.6</v>
      </c>
      <c r="I6" s="4">
        <v>4</v>
      </c>
      <c r="J6">
        <f t="shared" si="0"/>
        <v>38.5</v>
      </c>
      <c r="K6" s="4">
        <v>100</v>
      </c>
    </row>
    <row r="7" spans="1:13" x14ac:dyDescent="0.25">
      <c r="A7" t="str">
        <f>OAK_SHLTR3!A9</f>
        <v>Clearing (herbaceous + ligneous)</v>
      </c>
      <c r="B7" t="s">
        <v>39</v>
      </c>
      <c r="C7">
        <v>5</v>
      </c>
      <c r="D7">
        <f t="shared" si="1"/>
        <v>192.5</v>
      </c>
      <c r="E7" t="s">
        <v>8</v>
      </c>
      <c r="G7">
        <v>0.8</v>
      </c>
      <c r="H7" s="4">
        <v>5</v>
      </c>
      <c r="J7">
        <f t="shared" si="0"/>
        <v>38.5</v>
      </c>
      <c r="K7" s="4">
        <v>100</v>
      </c>
    </row>
    <row r="8" spans="1:13" x14ac:dyDescent="0.25">
      <c r="A8" t="str">
        <f>A7</f>
        <v>Clearing (herbaceous + ligneous)</v>
      </c>
      <c r="B8" t="s">
        <v>39</v>
      </c>
      <c r="C8">
        <v>7</v>
      </c>
      <c r="D8">
        <f t="shared" si="1"/>
        <v>192.5</v>
      </c>
      <c r="E8" t="s">
        <v>8</v>
      </c>
      <c r="G8">
        <v>1.5</v>
      </c>
      <c r="H8" s="4">
        <v>5</v>
      </c>
      <c r="J8">
        <f t="shared" si="0"/>
        <v>38.5</v>
      </c>
      <c r="K8" s="4">
        <v>100</v>
      </c>
    </row>
    <row r="9" spans="1:13" x14ac:dyDescent="0.25">
      <c r="A9" s="4" t="str">
        <f>OAK_SHLTR3!A12</f>
        <v>Clearing (ligneous)</v>
      </c>
      <c r="B9" t="s">
        <v>39</v>
      </c>
      <c r="C9">
        <v>11</v>
      </c>
      <c r="D9">
        <f t="shared" si="1"/>
        <v>115.5</v>
      </c>
      <c r="E9" t="s">
        <v>8</v>
      </c>
      <c r="G9">
        <v>3.5</v>
      </c>
      <c r="H9" s="4">
        <v>3</v>
      </c>
      <c r="J9" s="4">
        <f t="shared" si="0"/>
        <v>38.5</v>
      </c>
      <c r="K9">
        <v>100</v>
      </c>
    </row>
    <row r="10" spans="1:13" x14ac:dyDescent="0.25">
      <c r="A10" s="4" t="str">
        <f>OAK_SHLTR3!A13</f>
        <v>Clearing (ligneous)</v>
      </c>
      <c r="B10" t="s">
        <v>39</v>
      </c>
      <c r="C10">
        <v>20</v>
      </c>
      <c r="D10">
        <f t="shared" si="1"/>
        <v>115.5</v>
      </c>
      <c r="E10" t="s">
        <v>8</v>
      </c>
      <c r="G10">
        <v>10</v>
      </c>
      <c r="H10" s="4">
        <v>3</v>
      </c>
      <c r="J10" s="4">
        <f t="shared" si="0"/>
        <v>38.5</v>
      </c>
      <c r="K10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DBE67-801C-416D-8E9A-8557CECC340A}">
  <dimension ref="A1:M14"/>
  <sheetViews>
    <sheetView workbookViewId="0">
      <selection activeCell="F23" sqref="F23"/>
    </sheetView>
  </sheetViews>
  <sheetFormatPr baseColWidth="10" defaultColWidth="9.140625" defaultRowHeight="15" x14ac:dyDescent="0.25"/>
  <cols>
    <col min="1" max="1" width="30.42578125" bestFit="1" customWidth="1"/>
    <col min="2" max="2" width="10.140625" bestFit="1" customWidth="1"/>
    <col min="3" max="3" width="4.85546875" bestFit="1" customWidth="1"/>
    <col min="4" max="4" width="6" bestFit="1" customWidth="1"/>
    <col min="5" max="5" width="45.28515625" bestFit="1" customWidth="1"/>
    <col min="6" max="6" width="18.7109375" customWidth="1"/>
    <col min="7" max="7" width="16.28515625" bestFit="1" customWidth="1"/>
    <col min="8" max="8" width="12.5703125" bestFit="1" customWidth="1"/>
    <col min="9" max="9" width="13" bestFit="1" customWidth="1"/>
    <col min="10" max="10" width="18.140625" bestFit="1" customWidth="1"/>
    <col min="11" max="11" width="18.5703125" bestFit="1" customWidth="1"/>
    <col min="12" max="12" width="11.5703125" bestFit="1" customWidth="1"/>
    <col min="13" max="13" width="18.7109375" bestFit="1" customWidth="1"/>
  </cols>
  <sheetData>
    <row r="1" spans="1:13" x14ac:dyDescent="0.25">
      <c r="A1" s="1" t="str">
        <f>'SPR1-2'!A1</f>
        <v>label</v>
      </c>
      <c r="B1" s="1" t="s">
        <v>25</v>
      </c>
      <c r="C1" s="1" t="str">
        <f>'SPR1-2'!C1</f>
        <v>year</v>
      </c>
      <c r="D1" s="1" t="str">
        <f>'SPR1-2'!D1</f>
        <v>cost</v>
      </c>
      <c r="E1" s="1" t="str">
        <f>'SPR1-2'!E1</f>
        <v>source</v>
      </c>
      <c r="F1" s="1" t="s">
        <v>27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29</v>
      </c>
      <c r="M1" s="1" t="s">
        <v>30</v>
      </c>
    </row>
    <row r="2" spans="1:13" x14ac:dyDescent="0.25">
      <c r="A2" t="str">
        <f>'OAK1-2'!A2</f>
        <v>Mulching</v>
      </c>
      <c r="B2" t="s">
        <v>39</v>
      </c>
      <c r="C2">
        <f>'OAK1-2'!C2</f>
        <v>0</v>
      </c>
      <c r="D2">
        <f>'OAK1-2'!D2</f>
        <v>1238</v>
      </c>
      <c r="E2" t="str">
        <f>'OAK1-2'!E2</f>
        <v>union des entrepreneurs</v>
      </c>
      <c r="F2" t="s">
        <v>38</v>
      </c>
      <c r="G2">
        <f>'OAK1-2'!G2</f>
        <v>0</v>
      </c>
      <c r="H2">
        <f>'OAK1-2'!H2</f>
        <v>0</v>
      </c>
      <c r="I2">
        <f>'OAK1-2'!I2</f>
        <v>5</v>
      </c>
      <c r="J2">
        <f>'OAK1-2'!J2</f>
        <v>38.5</v>
      </c>
      <c r="K2">
        <f>'OAK1-2'!K2</f>
        <v>100</v>
      </c>
      <c r="L2">
        <f>'OAK1-2'!L2</f>
        <v>0</v>
      </c>
      <c r="M2">
        <f>'OAK1-2'!M2</f>
        <v>0</v>
      </c>
    </row>
    <row r="3" spans="1:13" x14ac:dyDescent="0.25">
      <c r="A3" t="str">
        <f>'OAK1-2'!A3</f>
        <v>Seedlings</v>
      </c>
      <c r="B3" t="s">
        <v>39</v>
      </c>
      <c r="C3">
        <v>0</v>
      </c>
      <c r="D3">
        <f>M3*L3</f>
        <v>780</v>
      </c>
      <c r="E3" t="s">
        <v>7</v>
      </c>
      <c r="L3" s="4">
        <v>1500</v>
      </c>
      <c r="M3">
        <v>0.52</v>
      </c>
    </row>
    <row r="4" spans="1:13" x14ac:dyDescent="0.25">
      <c r="A4" t="str">
        <f>'OAK1-2'!A4</f>
        <v>Planting</v>
      </c>
      <c r="B4" t="s">
        <v>39</v>
      </c>
      <c r="C4">
        <v>0</v>
      </c>
      <c r="D4" s="3">
        <f>M4*L4</f>
        <v>696.80000000000007</v>
      </c>
      <c r="E4" t="s">
        <v>3</v>
      </c>
      <c r="L4" s="4">
        <v>1500</v>
      </c>
      <c r="M4" s="2">
        <v>0.46453333333333341</v>
      </c>
    </row>
    <row r="5" spans="1:13" x14ac:dyDescent="0.25">
      <c r="A5" t="s">
        <v>24</v>
      </c>
      <c r="B5" t="s">
        <v>39</v>
      </c>
      <c r="C5">
        <v>0</v>
      </c>
      <c r="D5" s="3">
        <f>M5*L5</f>
        <v>1965</v>
      </c>
      <c r="E5" t="str">
        <f>'OAK1-2'!E5</f>
        <v>Sardin p 367, 379 et 397 + union des entrepreneurs</v>
      </c>
      <c r="L5" s="4">
        <v>1500</v>
      </c>
      <c r="M5" s="2">
        <v>1.31</v>
      </c>
    </row>
    <row r="6" spans="1:13" x14ac:dyDescent="0.25">
      <c r="A6" t="str">
        <f>'OAK1-2'!A5</f>
        <v>Clearing (bramble)</v>
      </c>
      <c r="B6" t="s">
        <v>39</v>
      </c>
      <c r="C6">
        <v>2</v>
      </c>
      <c r="D6">
        <f>'OAK1-2'!D5</f>
        <v>400</v>
      </c>
      <c r="E6" t="s">
        <v>8</v>
      </c>
      <c r="F6" t="s">
        <v>38</v>
      </c>
      <c r="G6">
        <v>0.3</v>
      </c>
      <c r="I6" s="4">
        <v>4</v>
      </c>
      <c r="J6">
        <f t="shared" ref="J6:J14" si="0">(33+44)/2</f>
        <v>38.5</v>
      </c>
      <c r="K6" s="4">
        <v>100</v>
      </c>
    </row>
    <row r="7" spans="1:13" x14ac:dyDescent="0.25">
      <c r="A7" t="s">
        <v>21</v>
      </c>
      <c r="B7" t="s">
        <v>39</v>
      </c>
      <c r="C7">
        <v>2</v>
      </c>
      <c r="D7">
        <f>M7*L7</f>
        <v>260</v>
      </c>
      <c r="E7" t="s">
        <v>7</v>
      </c>
      <c r="L7" s="4">
        <v>500</v>
      </c>
      <c r="M7">
        <v>0.52</v>
      </c>
    </row>
    <row r="8" spans="1:13" x14ac:dyDescent="0.25">
      <c r="A8" t="s">
        <v>24</v>
      </c>
      <c r="B8" t="s">
        <v>39</v>
      </c>
      <c r="C8">
        <v>2</v>
      </c>
      <c r="D8">
        <f>M8*L8</f>
        <v>655</v>
      </c>
      <c r="E8" t="s">
        <v>7</v>
      </c>
      <c r="L8" s="4">
        <v>500</v>
      </c>
      <c r="M8">
        <v>1.31</v>
      </c>
    </row>
    <row r="9" spans="1:13" x14ac:dyDescent="0.25">
      <c r="A9" t="s">
        <v>22</v>
      </c>
      <c r="B9" t="s">
        <v>39</v>
      </c>
      <c r="C9">
        <v>2</v>
      </c>
      <c r="D9" s="3">
        <f>M9*L9</f>
        <v>232.26666666666671</v>
      </c>
      <c r="E9" t="s">
        <v>3</v>
      </c>
      <c r="L9" s="4">
        <v>500</v>
      </c>
      <c r="M9" s="2">
        <v>0.46453333333333341</v>
      </c>
    </row>
    <row r="10" spans="1:13" x14ac:dyDescent="0.25">
      <c r="A10" t="str">
        <f>'OAK1-2'!A5</f>
        <v>Clearing (bramble)</v>
      </c>
      <c r="B10" t="s">
        <v>39</v>
      </c>
      <c r="C10">
        <v>4</v>
      </c>
      <c r="D10">
        <f>I10*K10+H10*J10</f>
        <v>400</v>
      </c>
      <c r="E10" t="s">
        <v>8</v>
      </c>
      <c r="G10">
        <v>0.6</v>
      </c>
      <c r="I10" s="4">
        <v>4</v>
      </c>
      <c r="J10">
        <f t="shared" si="0"/>
        <v>38.5</v>
      </c>
      <c r="K10" s="4">
        <v>100</v>
      </c>
    </row>
    <row r="11" spans="1:13" x14ac:dyDescent="0.25">
      <c r="A11" t="str">
        <f>'OAK1-2'!A7</f>
        <v>Clearing (herbaceous + ligneous)</v>
      </c>
      <c r="B11" t="s">
        <v>39</v>
      </c>
      <c r="C11">
        <v>5</v>
      </c>
      <c r="D11">
        <f>'OAK1-2'!D7</f>
        <v>192.5</v>
      </c>
      <c r="E11" t="s">
        <v>8</v>
      </c>
      <c r="F11" t="s">
        <v>38</v>
      </c>
      <c r="G11">
        <v>0.8</v>
      </c>
      <c r="H11" s="4">
        <v>5</v>
      </c>
      <c r="J11">
        <f t="shared" si="0"/>
        <v>38.5</v>
      </c>
      <c r="K11" s="4">
        <v>100</v>
      </c>
    </row>
    <row r="12" spans="1:13" x14ac:dyDescent="0.25">
      <c r="A12" t="str">
        <f>A11</f>
        <v>Clearing (herbaceous + ligneous)</v>
      </c>
      <c r="B12" t="s">
        <v>39</v>
      </c>
      <c r="C12">
        <v>7</v>
      </c>
      <c r="D12">
        <f>D11</f>
        <v>192.5</v>
      </c>
      <c r="E12" t="s">
        <v>8</v>
      </c>
      <c r="F12" t="s">
        <v>38</v>
      </c>
      <c r="G12">
        <v>1.5</v>
      </c>
      <c r="H12" s="4">
        <v>5</v>
      </c>
      <c r="J12">
        <f t="shared" si="0"/>
        <v>38.5</v>
      </c>
      <c r="K12" s="4">
        <v>100</v>
      </c>
    </row>
    <row r="13" spans="1:13" x14ac:dyDescent="0.25">
      <c r="A13" s="4" t="str">
        <f>'OAK1-2'!A9</f>
        <v>Clearing (ligneous)</v>
      </c>
      <c r="B13" t="s">
        <v>39</v>
      </c>
      <c r="C13">
        <v>11</v>
      </c>
      <c r="D13">
        <f>'OAK1-2'!D9</f>
        <v>115.5</v>
      </c>
      <c r="E13" t="s">
        <v>8</v>
      </c>
      <c r="F13" t="s">
        <v>38</v>
      </c>
      <c r="G13">
        <v>3.5</v>
      </c>
      <c r="H13" s="4">
        <v>3</v>
      </c>
      <c r="J13" s="4">
        <f t="shared" si="0"/>
        <v>38.5</v>
      </c>
      <c r="K13">
        <v>100</v>
      </c>
    </row>
    <row r="14" spans="1:13" x14ac:dyDescent="0.25">
      <c r="A14" s="4" t="str">
        <f>A13</f>
        <v>Clearing (ligneous)</v>
      </c>
      <c r="B14" t="s">
        <v>39</v>
      </c>
      <c r="C14">
        <v>20</v>
      </c>
      <c r="D14">
        <f>D13</f>
        <v>115.5</v>
      </c>
      <c r="E14" t="s">
        <v>8</v>
      </c>
      <c r="F14" t="s">
        <v>38</v>
      </c>
      <c r="G14">
        <v>10</v>
      </c>
      <c r="H14" s="4">
        <v>3</v>
      </c>
      <c r="J14" s="4">
        <f t="shared" si="0"/>
        <v>38.5</v>
      </c>
      <c r="K14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ad19e44-66bb-48cb-9d5c-a59f7b5db471" xsi:nil="true"/>
    <lcf76f155ced4ddcb4097134ff3c332f xmlns="5785a5e1-32c4-4f65-af10-eebc16574ae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48D708EB18334A8F5E2D4BBE638BA8" ma:contentTypeVersion="11" ma:contentTypeDescription="Crée un document." ma:contentTypeScope="" ma:versionID="73a72bdd6a2a580272656966b991cb93">
  <xsd:schema xmlns:xsd="http://www.w3.org/2001/XMLSchema" xmlns:xs="http://www.w3.org/2001/XMLSchema" xmlns:p="http://schemas.microsoft.com/office/2006/metadata/properties" xmlns:ns2="5785a5e1-32c4-4f65-af10-eebc16574aee" xmlns:ns3="aad19e44-66bb-48cb-9d5c-a59f7b5db471" targetNamespace="http://schemas.microsoft.com/office/2006/metadata/properties" ma:root="true" ma:fieldsID="250138fd6bf6ca4c82a587bcbad83ccc" ns2:_="" ns3:_="">
    <xsd:import namespace="5785a5e1-32c4-4f65-af10-eebc16574aee"/>
    <xsd:import namespace="aad19e44-66bb-48cb-9d5c-a59f7b5db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5a5e1-32c4-4f65-af10-eebc16574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434ded7-6e41-4000-8be6-3d063d771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19e44-66bb-48cb-9d5c-a59f7b5db47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387289-2c89-4b9a-9ce8-6120ba570354}" ma:internalName="TaxCatchAll" ma:showField="CatchAllData" ma:web="aad19e44-66bb-48cb-9d5c-a59f7b5db4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3E4B3A-A7B1-4C0A-8BD2-912F12E240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2DDCCE-A09D-4F96-9F1D-32D20F46D69F}">
  <ds:schemaRefs>
    <ds:schemaRef ds:uri="http://schemas.microsoft.com/office/2006/metadata/properties"/>
    <ds:schemaRef ds:uri="http://schemas.microsoft.com/office/infopath/2007/PartnerControls"/>
    <ds:schemaRef ds:uri="aad19e44-66bb-48cb-9d5c-a59f7b5db471"/>
    <ds:schemaRef ds:uri="5785a5e1-32c4-4f65-af10-eebc16574aee"/>
  </ds:schemaRefs>
</ds:datastoreItem>
</file>

<file path=customXml/itemProps3.xml><?xml version="1.0" encoding="utf-8"?>
<ds:datastoreItem xmlns:ds="http://schemas.openxmlformats.org/officeDocument/2006/customXml" ds:itemID="{2376FE22-97EE-48C3-A77B-9B656C483EC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DOU1-2</vt:lpstr>
      <vt:lpstr>DOU3</vt:lpstr>
      <vt:lpstr>SPR1-2</vt:lpstr>
      <vt:lpstr>SPR3</vt:lpstr>
      <vt:lpstr>OAK_SHLTR1-2</vt:lpstr>
      <vt:lpstr>OAK_SHLTR3</vt:lpstr>
      <vt:lpstr>OAK1-2</vt:lpstr>
      <vt:lpstr>OAK3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Ligot Gauthier</dc:creator>
  <cp:lastModifiedBy>Ligot Gauthier</cp:lastModifiedBy>
  <dcterms:created xsi:type="dcterms:W3CDTF">2024-08-07T07:58:35Z</dcterms:created>
  <dcterms:modified xsi:type="dcterms:W3CDTF">2025-11-25T15:53:40Z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0x0101009F48D708EB18334A8F5E2D4BBE638BA8</vt:lpwstr>
  </property>
  <property fmtid="{D5CDD505-2E9C-101B-9397-08002B2CF9AE}" pid="3" name="MediaServiceImageTags">
    <vt:lpwstr/>
  </property>
</Properties>
</file>