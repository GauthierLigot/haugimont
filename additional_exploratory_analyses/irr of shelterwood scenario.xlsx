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8_PAPER/test/"/>
    </mc:Choice>
  </mc:AlternateContent>
  <xr:revisionPtr revIDLastSave="0" documentId="8_{6A5CA753-E19B-4C8C-9E73-28B7C0346AB5}" xr6:coauthVersionLast="47" xr6:coauthVersionMax="47" xr10:uidLastSave="{00000000-0000-0000-0000-000000000000}"/>
  <bookViews>
    <workbookView minimized="1" xWindow="6315" yWindow="4860" windowWidth="30060" windowHeight="8820" xr2:uid="{252A0B20-A458-4B96-862D-E160F808C549}"/>
  </bookViews>
  <sheets>
    <sheet name="Feuil1" sheetId="1" r:id="rId1"/>
    <sheet name="Feuil2" sheetId="2" r:id="rId2"/>
  </sheets>
  <definedNames>
    <definedName name="_xlnm._FilterDatabase" localSheetId="1" hidden="1">Feuil2!$A$1:$J$108</definedName>
    <definedName name="solver_adj" localSheetId="0" hidden="1">Feuil1!$O$2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Feuil1!$K$14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J18" i="2"/>
  <c r="J13" i="2"/>
  <c r="J8" i="2"/>
  <c r="J3" i="2"/>
  <c r="K3" i="1" l="1"/>
  <c r="K2" i="1"/>
  <c r="K13" i="1" l="1"/>
  <c r="K14" i="1"/>
  <c r="K12" i="1"/>
  <c r="K4" i="1"/>
  <c r="K11" i="1" s="1"/>
  <c r="K7" i="1"/>
  <c r="K5" i="1" l="1"/>
</calcChain>
</file>

<file path=xl/sharedStrings.xml><?xml version="1.0" encoding="utf-8"?>
<sst xmlns="http://schemas.openxmlformats.org/spreadsheetml/2006/main" count="697" uniqueCount="57">
  <si>
    <t>label</t>
  </si>
  <si>
    <t>category</t>
  </si>
  <si>
    <t>year</t>
  </si>
  <si>
    <t>isIncome</t>
  </si>
  <si>
    <t>value</t>
  </si>
  <si>
    <t>volume</t>
  </si>
  <si>
    <t>net</t>
  </si>
  <si>
    <t>van</t>
  </si>
  <si>
    <t>Regeneration</t>
  </si>
  <si>
    <t>FALSE</t>
  </si>
  <si>
    <t>NA</t>
  </si>
  <si>
    <t>Management</t>
  </si>
  <si>
    <t>Clearing (bramble)</t>
  </si>
  <si>
    <t>Clearing (herbaceous + ligneous)</t>
  </si>
  <si>
    <t>Clearing (ligneous)</t>
  </si>
  <si>
    <t>Cut</t>
  </si>
  <si>
    <t>Timber sales</t>
  </si>
  <si>
    <t>TRUE</t>
  </si>
  <si>
    <t>V0</t>
  </si>
  <si>
    <t>Silvicultural access paths (creation)</t>
  </si>
  <si>
    <t>Silvicultural access paths (maintainance)</t>
  </si>
  <si>
    <t>date</t>
  </si>
  <si>
    <t>status</t>
  </si>
  <si>
    <t>stemVolume</t>
  </si>
  <si>
    <t>stemValue</t>
  </si>
  <si>
    <t>branchVolume</t>
  </si>
  <si>
    <t>branchValue</t>
  </si>
  <si>
    <t>totVolume</t>
  </si>
  <si>
    <t>totValue</t>
  </si>
  <si>
    <t>alive</t>
  </si>
  <si>
    <t>cut</t>
  </si>
  <si>
    <t>irr</t>
  </si>
  <si>
    <t>n</t>
  </si>
  <si>
    <t>LEV</t>
  </si>
  <si>
    <t>NPV5</t>
  </si>
  <si>
    <t>NPV1</t>
  </si>
  <si>
    <t>LEV approx</t>
  </si>
  <si>
    <t>VANinf LEV approx</t>
  </si>
  <si>
    <t>S0</t>
  </si>
  <si>
    <t>logically always 0 - useless</t>
  </si>
  <si>
    <t>IRR4</t>
  </si>
  <si>
    <t>full standing value</t>
  </si>
  <si>
    <t>true land expectation value</t>
  </si>
  <si>
    <t>approximated land expectation value</t>
  </si>
  <si>
    <t>NPV</t>
  </si>
  <si>
    <t>NPVinf</t>
  </si>
  <si>
    <t>standing stumpage value (from R)</t>
  </si>
  <si>
    <t>IRR5</t>
  </si>
  <si>
    <t>IRR3</t>
  </si>
  <si>
    <t>IRR2</t>
  </si>
  <si>
    <t>IRR1</t>
  </si>
  <si>
    <t>NPV4 (V0+L')</t>
  </si>
  <si>
    <t>NPV3 (S0+L')</t>
  </si>
  <si>
    <t>NPV2 (L')</t>
  </si>
  <si>
    <t>approx LEV opp. Cost</t>
  </si>
  <si>
    <t>approx LEV + stumpage opp cost</t>
  </si>
  <si>
    <t>approx LEV + standing value opp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</si>
</sst>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02A7-215C-4596-A3A3-8E2A85264039}">
  <dimension ref="A1:O140"/>
  <sheetViews>
    <sheetView tabSelected="1" workbookViewId="0">
      <selection activeCell="K15" sqref="K15"/>
    </sheetView>
  </sheetViews>
  <sheetFormatPr baseColWidth="10" defaultRowHeight="15" x14ac:dyDescent="0.25"/>
  <cols>
    <col min="10" max="10" width="17.85546875" customWidth="1"/>
    <col min="12" max="12" width="35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32</v>
      </c>
      <c r="K1">
        <f>C140</f>
        <v>116</v>
      </c>
    </row>
    <row r="2" spans="1:15" x14ac:dyDescent="0.25">
      <c r="A2" t="s">
        <v>15</v>
      </c>
      <c r="B2" t="s">
        <v>16</v>
      </c>
      <c r="C2">
        <v>0</v>
      </c>
      <c r="D2" t="s">
        <v>17</v>
      </c>
      <c r="E2">
        <v>12951.6165768341</v>
      </c>
      <c r="F2">
        <v>116.71715197491601</v>
      </c>
      <c r="G2">
        <v>12951.6165768341</v>
      </c>
      <c r="H2">
        <f>G2/(1+$O$2)^C2</f>
        <v>12951.6165768341</v>
      </c>
      <c r="J2" t="s">
        <v>18</v>
      </c>
      <c r="K2" s="1">
        <f>H24+H17+H8+H2</f>
        <v>41244.927851467088</v>
      </c>
      <c r="L2" t="s">
        <v>41</v>
      </c>
      <c r="N2" t="s">
        <v>31</v>
      </c>
      <c r="O2">
        <v>0.01</v>
      </c>
    </row>
    <row r="3" spans="1:15" x14ac:dyDescent="0.25">
      <c r="A3" t="s">
        <v>11</v>
      </c>
      <c r="B3" t="s">
        <v>11</v>
      </c>
      <c r="C3">
        <v>1</v>
      </c>
      <c r="D3" t="s">
        <v>9</v>
      </c>
      <c r="E3">
        <v>35</v>
      </c>
      <c r="F3" t="s">
        <v>10</v>
      </c>
      <c r="G3">
        <v>-35</v>
      </c>
      <c r="H3">
        <f t="shared" ref="H3:H66" si="0">G3/(1+$O$2)^C3</f>
        <v>-34.653465346534652</v>
      </c>
      <c r="J3" t="s">
        <v>44</v>
      </c>
      <c r="K3" s="1">
        <f>SUM(H2:H140)</f>
        <v>49013.580116140867</v>
      </c>
    </row>
    <row r="4" spans="1:15" x14ac:dyDescent="0.25">
      <c r="A4" t="s">
        <v>11</v>
      </c>
      <c r="B4" t="s">
        <v>11</v>
      </c>
      <c r="C4">
        <v>2</v>
      </c>
      <c r="D4" t="s">
        <v>9</v>
      </c>
      <c r="E4">
        <v>35</v>
      </c>
      <c r="F4" t="s">
        <v>10</v>
      </c>
      <c r="G4">
        <v>-35</v>
      </c>
      <c r="H4">
        <f t="shared" si="0"/>
        <v>-34.310361729242231</v>
      </c>
      <c r="J4" t="s">
        <v>45</v>
      </c>
      <c r="K4" s="1">
        <f>K3*(1+O2)^K1/((1+O2)^K1-1)</f>
        <v>71583.769651377923</v>
      </c>
    </row>
    <row r="5" spans="1:15" x14ac:dyDescent="0.25">
      <c r="A5" t="s">
        <v>19</v>
      </c>
      <c r="B5" t="s">
        <v>8</v>
      </c>
      <c r="C5">
        <v>3</v>
      </c>
      <c r="D5" t="s">
        <v>9</v>
      </c>
      <c r="E5">
        <v>300</v>
      </c>
      <c r="F5" t="s">
        <v>10</v>
      </c>
      <c r="G5">
        <v>-300</v>
      </c>
      <c r="H5">
        <f t="shared" si="0"/>
        <v>-291.17704437829337</v>
      </c>
      <c r="J5" t="s">
        <v>33</v>
      </c>
      <c r="K5" s="1">
        <f>K4-K2</f>
        <v>30338.841799910835</v>
      </c>
      <c r="L5" t="s">
        <v>42</v>
      </c>
    </row>
    <row r="6" spans="1:15" x14ac:dyDescent="0.25">
      <c r="A6" t="s">
        <v>12</v>
      </c>
      <c r="B6" t="s">
        <v>8</v>
      </c>
      <c r="C6">
        <v>3</v>
      </c>
      <c r="D6" t="s">
        <v>9</v>
      </c>
      <c r="E6">
        <v>400</v>
      </c>
      <c r="F6" t="s">
        <v>10</v>
      </c>
      <c r="G6">
        <v>-400</v>
      </c>
      <c r="H6">
        <f t="shared" si="0"/>
        <v>-388.23605917105783</v>
      </c>
      <c r="J6" t="s">
        <v>36</v>
      </c>
      <c r="K6">
        <v>5000</v>
      </c>
      <c r="L6" t="s">
        <v>43</v>
      </c>
    </row>
    <row r="7" spans="1:15" x14ac:dyDescent="0.25">
      <c r="A7" t="s">
        <v>11</v>
      </c>
      <c r="B7" t="s">
        <v>11</v>
      </c>
      <c r="C7">
        <v>3</v>
      </c>
      <c r="D7" t="s">
        <v>9</v>
      </c>
      <c r="E7">
        <v>35</v>
      </c>
      <c r="F7" t="s">
        <v>10</v>
      </c>
      <c r="G7">
        <v>-35</v>
      </c>
      <c r="H7">
        <f t="shared" si="0"/>
        <v>-33.970655177467556</v>
      </c>
      <c r="J7" t="s">
        <v>37</v>
      </c>
      <c r="K7" s="1">
        <f>K2+K6</f>
        <v>46244.927851467088</v>
      </c>
    </row>
    <row r="8" spans="1:15" x14ac:dyDescent="0.25">
      <c r="A8" t="s">
        <v>15</v>
      </c>
      <c r="B8" t="s">
        <v>16</v>
      </c>
      <c r="C8">
        <v>4</v>
      </c>
      <c r="D8" t="s">
        <v>17</v>
      </c>
      <c r="E8">
        <v>8693.8857089732301</v>
      </c>
      <c r="F8">
        <v>72.092512490653206</v>
      </c>
      <c r="G8">
        <v>8693.8857089732301</v>
      </c>
      <c r="H8">
        <f t="shared" si="0"/>
        <v>8354.6532835033286</v>
      </c>
      <c r="J8" t="s">
        <v>38</v>
      </c>
      <c r="K8">
        <v>35556</v>
      </c>
      <c r="L8" t="s">
        <v>46</v>
      </c>
    </row>
    <row r="9" spans="1:15" x14ac:dyDescent="0.25">
      <c r="A9" t="s">
        <v>11</v>
      </c>
      <c r="B9" t="s">
        <v>11</v>
      </c>
      <c r="C9">
        <v>4</v>
      </c>
      <c r="D9" t="s">
        <v>9</v>
      </c>
      <c r="E9">
        <v>35</v>
      </c>
      <c r="F9" t="s">
        <v>10</v>
      </c>
      <c r="G9">
        <v>-35</v>
      </c>
      <c r="H9">
        <f t="shared" si="0"/>
        <v>-33.634312056898573</v>
      </c>
    </row>
    <row r="10" spans="1:15" x14ac:dyDescent="0.25">
      <c r="A10" t="s">
        <v>12</v>
      </c>
      <c r="B10" t="s">
        <v>8</v>
      </c>
      <c r="C10">
        <v>5</v>
      </c>
      <c r="D10" t="s">
        <v>9</v>
      </c>
      <c r="E10">
        <v>400</v>
      </c>
      <c r="F10" t="s">
        <v>10</v>
      </c>
      <c r="G10">
        <v>-400</v>
      </c>
      <c r="H10">
        <f t="shared" si="0"/>
        <v>-380.58627504269953</v>
      </c>
    </row>
    <row r="11" spans="1:15" x14ac:dyDescent="0.25">
      <c r="A11" t="s">
        <v>11</v>
      </c>
      <c r="B11" t="s">
        <v>11</v>
      </c>
      <c r="C11">
        <v>5</v>
      </c>
      <c r="D11" t="s">
        <v>9</v>
      </c>
      <c r="E11">
        <v>35</v>
      </c>
      <c r="F11" t="s">
        <v>10</v>
      </c>
      <c r="G11">
        <v>-35</v>
      </c>
      <c r="H11">
        <f t="shared" si="0"/>
        <v>-33.301299066236211</v>
      </c>
      <c r="J11" t="s">
        <v>34</v>
      </c>
      <c r="K11" s="1">
        <f>-K4+K3+K4/(1+O2)^K1</f>
        <v>0</v>
      </c>
      <c r="L11" t="s">
        <v>39</v>
      </c>
      <c r="M11" t="s">
        <v>47</v>
      </c>
      <c r="N11" t="s">
        <v>10</v>
      </c>
    </row>
    <row r="12" spans="1:15" x14ac:dyDescent="0.25">
      <c r="A12" t="s">
        <v>20</v>
      </c>
      <c r="B12" t="s">
        <v>8</v>
      </c>
      <c r="C12">
        <v>6</v>
      </c>
      <c r="D12" t="s">
        <v>9</v>
      </c>
      <c r="E12">
        <v>300</v>
      </c>
      <c r="F12" t="s">
        <v>10</v>
      </c>
      <c r="G12">
        <v>-300</v>
      </c>
      <c r="H12">
        <f t="shared" si="0"/>
        <v>-282.61357057626196</v>
      </c>
      <c r="J12" t="s">
        <v>51</v>
      </c>
      <c r="K12">
        <f>-(K2+K6) +K3+ (K2+K6)/(1+O2)^K1</f>
        <v>17349.566230705517</v>
      </c>
      <c r="L12" t="s">
        <v>56</v>
      </c>
      <c r="M12" t="s">
        <v>40</v>
      </c>
      <c r="N12">
        <v>2.2589999999999999E-2</v>
      </c>
    </row>
    <row r="13" spans="1:15" x14ac:dyDescent="0.25">
      <c r="A13" t="s">
        <v>13</v>
      </c>
      <c r="B13" t="s">
        <v>8</v>
      </c>
      <c r="C13">
        <v>6</v>
      </c>
      <c r="D13" t="s">
        <v>9</v>
      </c>
      <c r="E13">
        <v>192.5</v>
      </c>
      <c r="F13" t="s">
        <v>10</v>
      </c>
      <c r="G13">
        <v>-192.5</v>
      </c>
      <c r="H13">
        <f t="shared" si="0"/>
        <v>-181.34370778643478</v>
      </c>
      <c r="J13" t="s">
        <v>52</v>
      </c>
      <c r="K13">
        <f>-(K8+K6) +K3+(K8+K6)/(1+O2)^K1</f>
        <v>21244.788882163914</v>
      </c>
      <c r="L13" t="s">
        <v>55</v>
      </c>
      <c r="M13" t="s">
        <v>48</v>
      </c>
      <c r="N13">
        <v>2.63E-2</v>
      </c>
    </row>
    <row r="14" spans="1:15" x14ac:dyDescent="0.25">
      <c r="A14" t="s">
        <v>11</v>
      </c>
      <c r="B14" t="s">
        <v>11</v>
      </c>
      <c r="C14">
        <v>6</v>
      </c>
      <c r="D14" t="s">
        <v>9</v>
      </c>
      <c r="E14">
        <v>35</v>
      </c>
      <c r="F14" t="s">
        <v>10</v>
      </c>
      <c r="G14">
        <v>-35</v>
      </c>
      <c r="H14">
        <f t="shared" si="0"/>
        <v>-32.971583233897235</v>
      </c>
      <c r="J14" t="s">
        <v>53</v>
      </c>
      <c r="K14">
        <f>K3-K6+K6/(1+O2)^K1</f>
        <v>45590.068029892602</v>
      </c>
      <c r="L14" t="s">
        <v>54</v>
      </c>
      <c r="M14" t="s">
        <v>49</v>
      </c>
      <c r="N14" t="s">
        <v>10</v>
      </c>
    </row>
    <row r="15" spans="1:15" x14ac:dyDescent="0.25">
      <c r="A15" t="s">
        <v>11</v>
      </c>
      <c r="B15" t="s">
        <v>11</v>
      </c>
      <c r="C15">
        <v>7</v>
      </c>
      <c r="D15" t="s">
        <v>9</v>
      </c>
      <c r="E15">
        <v>35</v>
      </c>
      <c r="F15" t="s">
        <v>10</v>
      </c>
      <c r="G15">
        <v>-35</v>
      </c>
      <c r="H15">
        <f t="shared" si="0"/>
        <v>-32.64513191474974</v>
      </c>
      <c r="J15" t="s">
        <v>35</v>
      </c>
      <c r="M15" t="s">
        <v>50</v>
      </c>
      <c r="N15" t="s">
        <v>10</v>
      </c>
    </row>
    <row r="16" spans="1:15" x14ac:dyDescent="0.25">
      <c r="A16" t="s">
        <v>13</v>
      </c>
      <c r="B16" t="s">
        <v>8</v>
      </c>
      <c r="C16">
        <v>8</v>
      </c>
      <c r="D16" t="s">
        <v>9</v>
      </c>
      <c r="E16">
        <v>192.5</v>
      </c>
      <c r="F16" t="s">
        <v>10</v>
      </c>
      <c r="G16">
        <v>-192.5</v>
      </c>
      <c r="H16">
        <f t="shared" si="0"/>
        <v>-177.77052032784508</v>
      </c>
    </row>
    <row r="17" spans="1:8" x14ac:dyDescent="0.25">
      <c r="A17" t="s">
        <v>15</v>
      </c>
      <c r="B17" t="s">
        <v>16</v>
      </c>
      <c r="C17">
        <v>8</v>
      </c>
      <c r="D17" t="s">
        <v>17</v>
      </c>
      <c r="E17">
        <v>9835.8278932278208</v>
      </c>
      <c r="F17">
        <v>79.145085961540303</v>
      </c>
      <c r="G17">
        <v>9835.8278932278208</v>
      </c>
      <c r="H17">
        <f t="shared" si="0"/>
        <v>9083.2220386194385</v>
      </c>
    </row>
    <row r="18" spans="1:8" x14ac:dyDescent="0.25">
      <c r="A18" t="s">
        <v>11</v>
      </c>
      <c r="B18" t="s">
        <v>11</v>
      </c>
      <c r="C18">
        <v>8</v>
      </c>
      <c r="D18" t="s">
        <v>9</v>
      </c>
      <c r="E18">
        <v>35</v>
      </c>
      <c r="F18" t="s">
        <v>10</v>
      </c>
      <c r="G18">
        <v>-35</v>
      </c>
      <c r="H18">
        <f t="shared" si="0"/>
        <v>-32.321912786880922</v>
      </c>
    </row>
    <row r="19" spans="1:8" x14ac:dyDescent="0.25">
      <c r="A19" t="s">
        <v>11</v>
      </c>
      <c r="B19" t="s">
        <v>11</v>
      </c>
      <c r="C19">
        <v>9</v>
      </c>
      <c r="D19" t="s">
        <v>9</v>
      </c>
      <c r="E19">
        <v>35</v>
      </c>
      <c r="F19" t="s">
        <v>10</v>
      </c>
      <c r="G19">
        <v>-35</v>
      </c>
      <c r="H19">
        <f t="shared" si="0"/>
        <v>-32.001893848396954</v>
      </c>
    </row>
    <row r="20" spans="1:8" x14ac:dyDescent="0.25">
      <c r="A20" t="s">
        <v>11</v>
      </c>
      <c r="B20" t="s">
        <v>11</v>
      </c>
      <c r="C20">
        <v>10</v>
      </c>
      <c r="D20" t="s">
        <v>9</v>
      </c>
      <c r="E20">
        <v>35</v>
      </c>
      <c r="F20" t="s">
        <v>10</v>
      </c>
      <c r="G20">
        <v>-35</v>
      </c>
      <c r="H20">
        <f t="shared" si="0"/>
        <v>-31.685043414254409</v>
      </c>
    </row>
    <row r="21" spans="1:8" x14ac:dyDescent="0.25">
      <c r="A21" t="s">
        <v>20</v>
      </c>
      <c r="B21" t="s">
        <v>8</v>
      </c>
      <c r="C21">
        <v>11</v>
      </c>
      <c r="D21" t="s">
        <v>9</v>
      </c>
      <c r="E21">
        <v>150</v>
      </c>
      <c r="F21" t="s">
        <v>10</v>
      </c>
      <c r="G21">
        <v>-150</v>
      </c>
      <c r="H21">
        <f t="shared" si="0"/>
        <v>-134.44855762767079</v>
      </c>
    </row>
    <row r="22" spans="1:8" x14ac:dyDescent="0.25">
      <c r="A22" t="s">
        <v>11</v>
      </c>
      <c r="B22" t="s">
        <v>11</v>
      </c>
      <c r="C22">
        <v>11</v>
      </c>
      <c r="D22" t="s">
        <v>9</v>
      </c>
      <c r="E22">
        <v>35</v>
      </c>
      <c r="F22" t="s">
        <v>10</v>
      </c>
      <c r="G22">
        <v>-35</v>
      </c>
      <c r="H22">
        <f t="shared" si="0"/>
        <v>-31.371330113123182</v>
      </c>
    </row>
    <row r="23" spans="1:8" x14ac:dyDescent="0.25">
      <c r="A23" t="s">
        <v>14</v>
      </c>
      <c r="B23" t="s">
        <v>8</v>
      </c>
      <c r="C23">
        <v>12</v>
      </c>
      <c r="D23" t="s">
        <v>9</v>
      </c>
      <c r="E23">
        <v>115.5</v>
      </c>
      <c r="F23" t="s">
        <v>10</v>
      </c>
      <c r="G23">
        <v>-115.5</v>
      </c>
      <c r="H23">
        <f t="shared" si="0"/>
        <v>-102.50038551812524</v>
      </c>
    </row>
    <row r="24" spans="1:8" x14ac:dyDescent="0.25">
      <c r="A24" t="s">
        <v>15</v>
      </c>
      <c r="B24" t="s">
        <v>16</v>
      </c>
      <c r="C24">
        <v>12</v>
      </c>
      <c r="D24" t="s">
        <v>17</v>
      </c>
      <c r="E24">
        <v>12232.176944282999</v>
      </c>
      <c r="F24">
        <v>78.075096605831504</v>
      </c>
      <c r="G24">
        <v>12232.176944282999</v>
      </c>
      <c r="H24">
        <f t="shared" si="0"/>
        <v>10855.435952510223</v>
      </c>
    </row>
    <row r="25" spans="1:8" x14ac:dyDescent="0.25">
      <c r="A25" t="s">
        <v>11</v>
      </c>
      <c r="B25" t="s">
        <v>11</v>
      </c>
      <c r="C25">
        <v>12</v>
      </c>
      <c r="D25" t="s">
        <v>9</v>
      </c>
      <c r="E25">
        <v>35</v>
      </c>
      <c r="F25" t="s">
        <v>10</v>
      </c>
      <c r="G25">
        <v>-35</v>
      </c>
      <c r="H25">
        <f t="shared" si="0"/>
        <v>-31.060722884280377</v>
      </c>
    </row>
    <row r="26" spans="1:8" x14ac:dyDescent="0.25">
      <c r="A26" t="s">
        <v>11</v>
      </c>
      <c r="B26" t="s">
        <v>11</v>
      </c>
      <c r="C26">
        <v>13</v>
      </c>
      <c r="D26" t="s">
        <v>9</v>
      </c>
      <c r="E26">
        <v>35</v>
      </c>
      <c r="F26" t="s">
        <v>10</v>
      </c>
      <c r="G26">
        <v>-35</v>
      </c>
      <c r="H26">
        <f t="shared" si="0"/>
        <v>-30.753190974535027</v>
      </c>
    </row>
    <row r="27" spans="1:8" x14ac:dyDescent="0.25">
      <c r="A27" t="s">
        <v>11</v>
      </c>
      <c r="B27" t="s">
        <v>11</v>
      </c>
      <c r="C27">
        <v>14</v>
      </c>
      <c r="D27" t="s">
        <v>9</v>
      </c>
      <c r="E27">
        <v>35</v>
      </c>
      <c r="F27" t="s">
        <v>10</v>
      </c>
      <c r="G27">
        <v>-35</v>
      </c>
      <c r="H27">
        <f t="shared" si="0"/>
        <v>-30.44870393518319</v>
      </c>
    </row>
    <row r="28" spans="1:8" x14ac:dyDescent="0.25">
      <c r="A28" t="s">
        <v>11</v>
      </c>
      <c r="B28" t="s">
        <v>11</v>
      </c>
      <c r="C28">
        <v>15</v>
      </c>
      <c r="D28" t="s">
        <v>9</v>
      </c>
      <c r="E28">
        <v>35</v>
      </c>
      <c r="F28" t="s">
        <v>10</v>
      </c>
      <c r="G28">
        <v>-35</v>
      </c>
      <c r="H28">
        <f t="shared" si="0"/>
        <v>-30.147231618993267</v>
      </c>
    </row>
    <row r="29" spans="1:8" x14ac:dyDescent="0.25">
      <c r="A29" t="s">
        <v>11</v>
      </c>
      <c r="B29" t="s">
        <v>11</v>
      </c>
      <c r="C29">
        <v>16</v>
      </c>
      <c r="D29" t="s">
        <v>9</v>
      </c>
      <c r="E29">
        <v>35</v>
      </c>
      <c r="F29" t="s">
        <v>10</v>
      </c>
      <c r="G29">
        <v>-35</v>
      </c>
      <c r="H29">
        <f t="shared" si="0"/>
        <v>-29.848744177221047</v>
      </c>
    </row>
    <row r="30" spans="1:8" x14ac:dyDescent="0.25">
      <c r="A30" t="s">
        <v>11</v>
      </c>
      <c r="B30" t="s">
        <v>11</v>
      </c>
      <c r="C30">
        <v>17</v>
      </c>
      <c r="D30" t="s">
        <v>9</v>
      </c>
      <c r="E30">
        <v>35</v>
      </c>
      <c r="F30" t="s">
        <v>10</v>
      </c>
      <c r="G30">
        <v>-35</v>
      </c>
      <c r="H30">
        <f t="shared" si="0"/>
        <v>-29.553212056654502</v>
      </c>
    </row>
    <row r="31" spans="1:8" x14ac:dyDescent="0.25">
      <c r="A31" t="s">
        <v>11</v>
      </c>
      <c r="B31" t="s">
        <v>11</v>
      </c>
      <c r="C31">
        <v>18</v>
      </c>
      <c r="D31" t="s">
        <v>9</v>
      </c>
      <c r="E31">
        <v>35</v>
      </c>
      <c r="F31" t="s">
        <v>10</v>
      </c>
      <c r="G31">
        <v>-35</v>
      </c>
      <c r="H31">
        <f t="shared" si="0"/>
        <v>-29.260605996687623</v>
      </c>
    </row>
    <row r="32" spans="1:8" x14ac:dyDescent="0.25">
      <c r="A32" t="s">
        <v>11</v>
      </c>
      <c r="B32" t="s">
        <v>11</v>
      </c>
      <c r="C32">
        <v>19</v>
      </c>
      <c r="D32" t="s">
        <v>9</v>
      </c>
      <c r="E32">
        <v>35</v>
      </c>
      <c r="F32" t="s">
        <v>10</v>
      </c>
      <c r="G32">
        <v>-35</v>
      </c>
      <c r="H32">
        <f t="shared" si="0"/>
        <v>-28.970897026423398</v>
      </c>
    </row>
    <row r="33" spans="1:8" x14ac:dyDescent="0.25">
      <c r="A33" t="s">
        <v>11</v>
      </c>
      <c r="B33" t="s">
        <v>11</v>
      </c>
      <c r="C33">
        <v>20</v>
      </c>
      <c r="D33" t="s">
        <v>9</v>
      </c>
      <c r="E33">
        <v>35</v>
      </c>
      <c r="F33" t="s">
        <v>10</v>
      </c>
      <c r="G33">
        <v>-35</v>
      </c>
      <c r="H33">
        <f t="shared" si="0"/>
        <v>-28.684056461805341</v>
      </c>
    </row>
    <row r="34" spans="1:8" x14ac:dyDescent="0.25">
      <c r="A34" t="s">
        <v>14</v>
      </c>
      <c r="B34" t="s">
        <v>8</v>
      </c>
      <c r="C34">
        <v>21</v>
      </c>
      <c r="D34" t="s">
        <v>9</v>
      </c>
      <c r="E34">
        <v>115.5</v>
      </c>
      <c r="F34" t="s">
        <v>10</v>
      </c>
      <c r="G34">
        <v>-115.5</v>
      </c>
      <c r="H34">
        <f t="shared" si="0"/>
        <v>-93.720184479165965</v>
      </c>
    </row>
    <row r="35" spans="1:8" x14ac:dyDescent="0.25">
      <c r="A35" t="s">
        <v>11</v>
      </c>
      <c r="B35" t="s">
        <v>11</v>
      </c>
      <c r="C35">
        <v>21</v>
      </c>
      <c r="D35" t="s">
        <v>9</v>
      </c>
      <c r="E35">
        <v>35</v>
      </c>
      <c r="F35" t="s">
        <v>10</v>
      </c>
      <c r="G35">
        <v>-35</v>
      </c>
      <c r="H35">
        <f t="shared" si="0"/>
        <v>-28.400055902777567</v>
      </c>
    </row>
    <row r="36" spans="1:8" x14ac:dyDescent="0.25">
      <c r="A36" t="s">
        <v>11</v>
      </c>
      <c r="B36" t="s">
        <v>11</v>
      </c>
      <c r="C36">
        <v>22</v>
      </c>
      <c r="D36" t="s">
        <v>9</v>
      </c>
      <c r="E36">
        <v>35</v>
      </c>
      <c r="F36" t="s">
        <v>10</v>
      </c>
      <c r="G36">
        <v>-35</v>
      </c>
      <c r="H36">
        <f t="shared" si="0"/>
        <v>-28.118867230472834</v>
      </c>
    </row>
    <row r="37" spans="1:8" x14ac:dyDescent="0.25">
      <c r="A37" t="s">
        <v>11</v>
      </c>
      <c r="B37" t="s">
        <v>11</v>
      </c>
      <c r="C37">
        <v>23</v>
      </c>
      <c r="D37" t="s">
        <v>9</v>
      </c>
      <c r="E37">
        <v>35</v>
      </c>
      <c r="F37" t="s">
        <v>10</v>
      </c>
      <c r="G37">
        <v>-35</v>
      </c>
      <c r="H37">
        <f t="shared" si="0"/>
        <v>-27.840462604428552</v>
      </c>
    </row>
    <row r="38" spans="1:8" x14ac:dyDescent="0.25">
      <c r="A38" t="s">
        <v>11</v>
      </c>
      <c r="B38" t="s">
        <v>11</v>
      </c>
      <c r="C38">
        <v>24</v>
      </c>
      <c r="D38" t="s">
        <v>9</v>
      </c>
      <c r="E38">
        <v>35</v>
      </c>
      <c r="F38" t="s">
        <v>10</v>
      </c>
      <c r="G38">
        <v>-35</v>
      </c>
      <c r="H38">
        <f t="shared" si="0"/>
        <v>-27.564814459830242</v>
      </c>
    </row>
    <row r="39" spans="1:8" x14ac:dyDescent="0.25">
      <c r="A39" t="s">
        <v>11</v>
      </c>
      <c r="B39" t="s">
        <v>11</v>
      </c>
      <c r="C39">
        <v>25</v>
      </c>
      <c r="D39" t="s">
        <v>9</v>
      </c>
      <c r="E39">
        <v>35</v>
      </c>
      <c r="F39" t="s">
        <v>10</v>
      </c>
      <c r="G39">
        <v>-35</v>
      </c>
      <c r="H39">
        <f t="shared" si="0"/>
        <v>-27.291895504782413</v>
      </c>
    </row>
    <row r="40" spans="1:8" x14ac:dyDescent="0.25">
      <c r="A40" t="s">
        <v>11</v>
      </c>
      <c r="B40" t="s">
        <v>11</v>
      </c>
      <c r="C40">
        <v>26</v>
      </c>
      <c r="D40" t="s">
        <v>9</v>
      </c>
      <c r="E40">
        <v>35</v>
      </c>
      <c r="F40" t="s">
        <v>10</v>
      </c>
      <c r="G40">
        <v>-35</v>
      </c>
      <c r="H40">
        <f t="shared" si="0"/>
        <v>-27.021678717606353</v>
      </c>
    </row>
    <row r="41" spans="1:8" x14ac:dyDescent="0.25">
      <c r="A41" t="s">
        <v>11</v>
      </c>
      <c r="B41" t="s">
        <v>11</v>
      </c>
      <c r="C41">
        <v>27</v>
      </c>
      <c r="D41" t="s">
        <v>9</v>
      </c>
      <c r="E41">
        <v>35</v>
      </c>
      <c r="F41" t="s">
        <v>10</v>
      </c>
      <c r="G41">
        <v>-35</v>
      </c>
      <c r="H41">
        <f t="shared" si="0"/>
        <v>-26.754137344164715</v>
      </c>
    </row>
    <row r="42" spans="1:8" x14ac:dyDescent="0.25">
      <c r="A42" t="s">
        <v>11</v>
      </c>
      <c r="B42" t="s">
        <v>11</v>
      </c>
      <c r="C42">
        <v>28</v>
      </c>
      <c r="D42" t="s">
        <v>9</v>
      </c>
      <c r="E42">
        <v>35</v>
      </c>
      <c r="F42" t="s">
        <v>10</v>
      </c>
      <c r="G42">
        <v>-35</v>
      </c>
      <c r="H42">
        <f t="shared" si="0"/>
        <v>-26.489244895212586</v>
      </c>
    </row>
    <row r="43" spans="1:8" x14ac:dyDescent="0.25">
      <c r="A43" t="s">
        <v>11</v>
      </c>
      <c r="B43" t="s">
        <v>11</v>
      </c>
      <c r="C43">
        <v>29</v>
      </c>
      <c r="D43" t="s">
        <v>9</v>
      </c>
      <c r="E43">
        <v>35</v>
      </c>
      <c r="F43" t="s">
        <v>10</v>
      </c>
      <c r="G43">
        <v>-35</v>
      </c>
      <c r="H43">
        <f t="shared" si="0"/>
        <v>-26.226975143774837</v>
      </c>
    </row>
    <row r="44" spans="1:8" x14ac:dyDescent="0.25">
      <c r="A44" t="s">
        <v>11</v>
      </c>
      <c r="B44" t="s">
        <v>11</v>
      </c>
      <c r="C44">
        <v>30</v>
      </c>
      <c r="D44" t="s">
        <v>9</v>
      </c>
      <c r="E44">
        <v>35</v>
      </c>
      <c r="F44" t="s">
        <v>10</v>
      </c>
      <c r="G44">
        <v>-35</v>
      </c>
      <c r="H44">
        <f t="shared" si="0"/>
        <v>-25.967302122549338</v>
      </c>
    </row>
    <row r="45" spans="1:8" x14ac:dyDescent="0.25">
      <c r="A45" t="s">
        <v>11</v>
      </c>
      <c r="B45" t="s">
        <v>11</v>
      </c>
      <c r="C45">
        <v>31</v>
      </c>
      <c r="D45" t="s">
        <v>9</v>
      </c>
      <c r="E45">
        <v>35</v>
      </c>
      <c r="F45" t="s">
        <v>10</v>
      </c>
      <c r="G45">
        <v>-35</v>
      </c>
      <c r="H45">
        <f t="shared" si="0"/>
        <v>-25.710200121335987</v>
      </c>
    </row>
    <row r="46" spans="1:8" x14ac:dyDescent="0.25">
      <c r="A46" t="s">
        <v>11</v>
      </c>
      <c r="B46" t="s">
        <v>11</v>
      </c>
      <c r="C46">
        <v>32</v>
      </c>
      <c r="D46" t="s">
        <v>9</v>
      </c>
      <c r="E46">
        <v>35</v>
      </c>
      <c r="F46" t="s">
        <v>10</v>
      </c>
      <c r="G46">
        <v>-35</v>
      </c>
      <c r="H46">
        <f t="shared" si="0"/>
        <v>-25.455643684491069</v>
      </c>
    </row>
    <row r="47" spans="1:8" x14ac:dyDescent="0.25">
      <c r="A47" t="s">
        <v>11</v>
      </c>
      <c r="B47" t="s">
        <v>11</v>
      </c>
      <c r="C47">
        <v>33</v>
      </c>
      <c r="D47" t="s">
        <v>9</v>
      </c>
      <c r="E47">
        <v>35</v>
      </c>
      <c r="F47" t="s">
        <v>10</v>
      </c>
      <c r="G47">
        <v>-35</v>
      </c>
      <c r="H47">
        <f t="shared" si="0"/>
        <v>-25.203607608406998</v>
      </c>
    </row>
    <row r="48" spans="1:8" x14ac:dyDescent="0.25">
      <c r="A48" t="s">
        <v>11</v>
      </c>
      <c r="B48" t="s">
        <v>11</v>
      </c>
      <c r="C48">
        <v>34</v>
      </c>
      <c r="D48" t="s">
        <v>9</v>
      </c>
      <c r="E48">
        <v>35</v>
      </c>
      <c r="F48" t="s">
        <v>10</v>
      </c>
      <c r="G48">
        <v>-35</v>
      </c>
      <c r="H48">
        <f t="shared" si="0"/>
        <v>-24.95406693901683</v>
      </c>
    </row>
    <row r="49" spans="1:8" x14ac:dyDescent="0.25">
      <c r="A49" t="s">
        <v>11</v>
      </c>
      <c r="B49" t="s">
        <v>11</v>
      </c>
      <c r="C49">
        <v>35</v>
      </c>
      <c r="D49" t="s">
        <v>9</v>
      </c>
      <c r="E49">
        <v>35</v>
      </c>
      <c r="F49" t="s">
        <v>10</v>
      </c>
      <c r="G49">
        <v>-35</v>
      </c>
      <c r="H49">
        <f t="shared" si="0"/>
        <v>-24.706996969323598</v>
      </c>
    </row>
    <row r="50" spans="1:8" x14ac:dyDescent="0.25">
      <c r="A50" t="s">
        <v>15</v>
      </c>
      <c r="B50" t="s">
        <v>16</v>
      </c>
      <c r="C50">
        <v>36</v>
      </c>
      <c r="D50" t="s">
        <v>17</v>
      </c>
      <c r="E50">
        <v>1263.0659679115099</v>
      </c>
      <c r="F50">
        <v>42.102198930383501</v>
      </c>
      <c r="G50">
        <v>1263.0659679115099</v>
      </c>
      <c r="H50">
        <f t="shared" si="0"/>
        <v>882.78831799845682</v>
      </c>
    </row>
    <row r="51" spans="1:8" x14ac:dyDescent="0.25">
      <c r="A51" t="s">
        <v>11</v>
      </c>
      <c r="B51" t="s">
        <v>11</v>
      </c>
      <c r="C51">
        <v>36</v>
      </c>
      <c r="D51" t="s">
        <v>9</v>
      </c>
      <c r="E51">
        <v>35</v>
      </c>
      <c r="F51" t="s">
        <v>10</v>
      </c>
      <c r="G51">
        <v>-35</v>
      </c>
      <c r="H51">
        <f t="shared" si="0"/>
        <v>-24.462373236954054</v>
      </c>
    </row>
    <row r="52" spans="1:8" x14ac:dyDescent="0.25">
      <c r="A52" t="s">
        <v>11</v>
      </c>
      <c r="B52" t="s">
        <v>11</v>
      </c>
      <c r="C52">
        <v>37</v>
      </c>
      <c r="D52" t="s">
        <v>9</v>
      </c>
      <c r="E52">
        <v>35</v>
      </c>
      <c r="F52" t="s">
        <v>10</v>
      </c>
      <c r="G52">
        <v>-35</v>
      </c>
      <c r="H52">
        <f t="shared" si="0"/>
        <v>-24.220171521736688</v>
      </c>
    </row>
    <row r="53" spans="1:8" x14ac:dyDescent="0.25">
      <c r="A53" t="s">
        <v>11</v>
      </c>
      <c r="B53" t="s">
        <v>11</v>
      </c>
      <c r="C53">
        <v>38</v>
      </c>
      <c r="D53" t="s">
        <v>9</v>
      </c>
      <c r="E53">
        <v>35</v>
      </c>
      <c r="F53" t="s">
        <v>10</v>
      </c>
      <c r="G53">
        <v>-35</v>
      </c>
      <c r="H53">
        <f t="shared" si="0"/>
        <v>-23.98036784330365</v>
      </c>
    </row>
    <row r="54" spans="1:8" x14ac:dyDescent="0.25">
      <c r="A54" t="s">
        <v>11</v>
      </c>
      <c r="B54" t="s">
        <v>11</v>
      </c>
      <c r="C54">
        <v>39</v>
      </c>
      <c r="D54" t="s">
        <v>9</v>
      </c>
      <c r="E54">
        <v>35</v>
      </c>
      <c r="F54" t="s">
        <v>10</v>
      </c>
      <c r="G54">
        <v>-35</v>
      </c>
      <c r="H54">
        <f t="shared" si="0"/>
        <v>-23.742938458716491</v>
      </c>
    </row>
    <row r="55" spans="1:8" x14ac:dyDescent="0.25">
      <c r="A55" t="s">
        <v>11</v>
      </c>
      <c r="B55" t="s">
        <v>11</v>
      </c>
      <c r="C55">
        <v>40</v>
      </c>
      <c r="D55" t="s">
        <v>9</v>
      </c>
      <c r="E55">
        <v>35</v>
      </c>
      <c r="F55" t="s">
        <v>10</v>
      </c>
      <c r="G55">
        <v>-35</v>
      </c>
      <c r="H55">
        <f t="shared" si="0"/>
        <v>-23.507859860115332</v>
      </c>
    </row>
    <row r="56" spans="1:8" x14ac:dyDescent="0.25">
      <c r="A56" t="s">
        <v>11</v>
      </c>
      <c r="B56" t="s">
        <v>11</v>
      </c>
      <c r="C56">
        <v>41</v>
      </c>
      <c r="D56" t="s">
        <v>9</v>
      </c>
      <c r="E56">
        <v>35</v>
      </c>
      <c r="F56" t="s">
        <v>10</v>
      </c>
      <c r="G56">
        <v>-35</v>
      </c>
      <c r="H56">
        <f t="shared" si="0"/>
        <v>-23.275108772391416</v>
      </c>
    </row>
    <row r="57" spans="1:8" x14ac:dyDescent="0.25">
      <c r="A57" t="s">
        <v>11</v>
      </c>
      <c r="B57" t="s">
        <v>11</v>
      </c>
      <c r="C57">
        <v>42</v>
      </c>
      <c r="D57" t="s">
        <v>9</v>
      </c>
      <c r="E57">
        <v>35</v>
      </c>
      <c r="F57" t="s">
        <v>10</v>
      </c>
      <c r="G57">
        <v>-35</v>
      </c>
      <c r="H57">
        <f t="shared" si="0"/>
        <v>-23.044662150882587</v>
      </c>
    </row>
    <row r="58" spans="1:8" x14ac:dyDescent="0.25">
      <c r="A58" t="s">
        <v>11</v>
      </c>
      <c r="B58" t="s">
        <v>11</v>
      </c>
      <c r="C58">
        <v>43</v>
      </c>
      <c r="D58" t="s">
        <v>9</v>
      </c>
      <c r="E58">
        <v>35</v>
      </c>
      <c r="F58" t="s">
        <v>10</v>
      </c>
      <c r="G58">
        <v>-35</v>
      </c>
      <c r="H58">
        <f t="shared" si="0"/>
        <v>-22.816497179091677</v>
      </c>
    </row>
    <row r="59" spans="1:8" x14ac:dyDescent="0.25">
      <c r="A59" t="s">
        <v>15</v>
      </c>
      <c r="B59" t="s">
        <v>16</v>
      </c>
      <c r="C59">
        <v>44</v>
      </c>
      <c r="D59" t="s">
        <v>17</v>
      </c>
      <c r="E59">
        <v>2190.6095089271298</v>
      </c>
      <c r="F59">
        <v>73.062558518883705</v>
      </c>
      <c r="G59">
        <v>2190.6095089271298</v>
      </c>
      <c r="H59">
        <f t="shared" si="0"/>
        <v>1413.9189725863439</v>
      </c>
    </row>
    <row r="60" spans="1:8" x14ac:dyDescent="0.25">
      <c r="A60" t="s">
        <v>11</v>
      </c>
      <c r="B60" t="s">
        <v>11</v>
      </c>
      <c r="C60">
        <v>44</v>
      </c>
      <c r="D60" t="s">
        <v>9</v>
      </c>
      <c r="E60">
        <v>35</v>
      </c>
      <c r="F60" t="s">
        <v>10</v>
      </c>
      <c r="G60">
        <v>-35</v>
      </c>
      <c r="H60">
        <f t="shared" si="0"/>
        <v>-22.590591266427403</v>
      </c>
    </row>
    <row r="61" spans="1:8" x14ac:dyDescent="0.25">
      <c r="A61" t="s">
        <v>11</v>
      </c>
      <c r="B61" t="s">
        <v>11</v>
      </c>
      <c r="C61">
        <v>45</v>
      </c>
      <c r="D61" t="s">
        <v>9</v>
      </c>
      <c r="E61">
        <v>35</v>
      </c>
      <c r="F61" t="s">
        <v>10</v>
      </c>
      <c r="G61">
        <v>-35</v>
      </c>
      <c r="H61">
        <f t="shared" si="0"/>
        <v>-22.366922045967723</v>
      </c>
    </row>
    <row r="62" spans="1:8" x14ac:dyDescent="0.25">
      <c r="A62" t="s">
        <v>11</v>
      </c>
      <c r="B62" t="s">
        <v>11</v>
      </c>
      <c r="C62">
        <v>46</v>
      </c>
      <c r="D62" t="s">
        <v>9</v>
      </c>
      <c r="E62">
        <v>35</v>
      </c>
      <c r="F62" t="s">
        <v>10</v>
      </c>
      <c r="G62">
        <v>-35</v>
      </c>
      <c r="H62">
        <f t="shared" si="0"/>
        <v>-22.145467372245268</v>
      </c>
    </row>
    <row r="63" spans="1:8" x14ac:dyDescent="0.25">
      <c r="A63" t="s">
        <v>11</v>
      </c>
      <c r="B63" t="s">
        <v>11</v>
      </c>
      <c r="C63">
        <v>47</v>
      </c>
      <c r="D63" t="s">
        <v>9</v>
      </c>
      <c r="E63">
        <v>35</v>
      </c>
      <c r="F63" t="s">
        <v>10</v>
      </c>
      <c r="G63">
        <v>-35</v>
      </c>
      <c r="H63">
        <f t="shared" si="0"/>
        <v>-21.926205319054727</v>
      </c>
    </row>
    <row r="64" spans="1:8" x14ac:dyDescent="0.25">
      <c r="A64" t="s">
        <v>11</v>
      </c>
      <c r="B64" t="s">
        <v>11</v>
      </c>
      <c r="C64">
        <v>48</v>
      </c>
      <c r="D64" t="s">
        <v>9</v>
      </c>
      <c r="E64">
        <v>35</v>
      </c>
      <c r="F64" t="s">
        <v>10</v>
      </c>
      <c r="G64">
        <v>-35</v>
      </c>
      <c r="H64">
        <f t="shared" si="0"/>
        <v>-21.709114177281901</v>
      </c>
    </row>
    <row r="65" spans="1:8" x14ac:dyDescent="0.25">
      <c r="A65" t="s">
        <v>11</v>
      </c>
      <c r="B65" t="s">
        <v>11</v>
      </c>
      <c r="C65">
        <v>49</v>
      </c>
      <c r="D65" t="s">
        <v>9</v>
      </c>
      <c r="E65">
        <v>35</v>
      </c>
      <c r="F65" t="s">
        <v>10</v>
      </c>
      <c r="G65">
        <v>-35</v>
      </c>
      <c r="H65">
        <f t="shared" si="0"/>
        <v>-21.494172452754356</v>
      </c>
    </row>
    <row r="66" spans="1:8" x14ac:dyDescent="0.25">
      <c r="A66" t="s">
        <v>11</v>
      </c>
      <c r="B66" t="s">
        <v>11</v>
      </c>
      <c r="C66">
        <v>50</v>
      </c>
      <c r="D66" t="s">
        <v>9</v>
      </c>
      <c r="E66">
        <v>35</v>
      </c>
      <c r="F66" t="s">
        <v>10</v>
      </c>
      <c r="G66">
        <v>-35</v>
      </c>
      <c r="H66">
        <f t="shared" si="0"/>
        <v>-21.281358864113223</v>
      </c>
    </row>
    <row r="67" spans="1:8" x14ac:dyDescent="0.25">
      <c r="A67" t="s">
        <v>11</v>
      </c>
      <c r="B67" t="s">
        <v>11</v>
      </c>
      <c r="C67">
        <v>51</v>
      </c>
      <c r="D67" t="s">
        <v>9</v>
      </c>
      <c r="E67">
        <v>35</v>
      </c>
      <c r="F67" t="s">
        <v>10</v>
      </c>
      <c r="G67">
        <v>-35</v>
      </c>
      <c r="H67">
        <f t="shared" ref="H67:H130" si="1">G67/(1+$O$2)^C67</f>
        <v>-21.070652340706165</v>
      </c>
    </row>
    <row r="68" spans="1:8" x14ac:dyDescent="0.25">
      <c r="A68" t="s">
        <v>15</v>
      </c>
      <c r="B68" t="s">
        <v>16</v>
      </c>
      <c r="C68">
        <v>52</v>
      </c>
      <c r="D68" t="s">
        <v>17</v>
      </c>
      <c r="E68">
        <v>1968.0612225735599</v>
      </c>
      <c r="F68">
        <v>66.722796928710096</v>
      </c>
      <c r="G68">
        <v>1968.0612225735599</v>
      </c>
      <c r="H68">
        <f t="shared" si="1"/>
        <v>1173.0787498181787</v>
      </c>
    </row>
    <row r="69" spans="1:8" x14ac:dyDescent="0.25">
      <c r="A69" t="s">
        <v>11</v>
      </c>
      <c r="B69" t="s">
        <v>11</v>
      </c>
      <c r="C69">
        <v>52</v>
      </c>
      <c r="D69" t="s">
        <v>9</v>
      </c>
      <c r="E69">
        <v>35</v>
      </c>
      <c r="F69" t="s">
        <v>10</v>
      </c>
      <c r="G69">
        <v>-35</v>
      </c>
      <c r="H69">
        <f t="shared" si="1"/>
        <v>-20.862032020501154</v>
      </c>
    </row>
    <row r="70" spans="1:8" x14ac:dyDescent="0.25">
      <c r="A70" t="s">
        <v>11</v>
      </c>
      <c r="B70" t="s">
        <v>11</v>
      </c>
      <c r="C70">
        <v>53</v>
      </c>
      <c r="D70" t="s">
        <v>9</v>
      </c>
      <c r="E70">
        <v>35</v>
      </c>
      <c r="F70" t="s">
        <v>10</v>
      </c>
      <c r="G70">
        <v>-35</v>
      </c>
      <c r="H70">
        <f t="shared" si="1"/>
        <v>-20.655477248020947</v>
      </c>
    </row>
    <row r="71" spans="1:8" x14ac:dyDescent="0.25">
      <c r="A71" t="s">
        <v>11</v>
      </c>
      <c r="B71" t="s">
        <v>11</v>
      </c>
      <c r="C71">
        <v>54</v>
      </c>
      <c r="D71" t="s">
        <v>9</v>
      </c>
      <c r="E71">
        <v>35</v>
      </c>
      <c r="F71" t="s">
        <v>10</v>
      </c>
      <c r="G71">
        <v>-35</v>
      </c>
      <c r="H71">
        <f t="shared" si="1"/>
        <v>-20.450967572297962</v>
      </c>
    </row>
    <row r="72" spans="1:8" x14ac:dyDescent="0.25">
      <c r="A72" t="s">
        <v>11</v>
      </c>
      <c r="B72" t="s">
        <v>11</v>
      </c>
      <c r="C72">
        <v>55</v>
      </c>
      <c r="D72" t="s">
        <v>9</v>
      </c>
      <c r="E72">
        <v>35</v>
      </c>
      <c r="F72" t="s">
        <v>10</v>
      </c>
      <c r="G72">
        <v>-35</v>
      </c>
      <c r="H72">
        <f t="shared" si="1"/>
        <v>-20.248482744849472</v>
      </c>
    </row>
    <row r="73" spans="1:8" x14ac:dyDescent="0.25">
      <c r="A73" t="s">
        <v>11</v>
      </c>
      <c r="B73" t="s">
        <v>11</v>
      </c>
      <c r="C73">
        <v>56</v>
      </c>
      <c r="D73" t="s">
        <v>9</v>
      </c>
      <c r="E73">
        <v>35</v>
      </c>
      <c r="F73" t="s">
        <v>10</v>
      </c>
      <c r="G73">
        <v>-35</v>
      </c>
      <c r="H73">
        <f t="shared" si="1"/>
        <v>-20.048002717672738</v>
      </c>
    </row>
    <row r="74" spans="1:8" x14ac:dyDescent="0.25">
      <c r="A74" t="s">
        <v>11</v>
      </c>
      <c r="B74" t="s">
        <v>11</v>
      </c>
      <c r="C74">
        <v>57</v>
      </c>
      <c r="D74" t="s">
        <v>9</v>
      </c>
      <c r="E74">
        <v>35</v>
      </c>
      <c r="F74" t="s">
        <v>10</v>
      </c>
      <c r="G74">
        <v>-35</v>
      </c>
      <c r="H74">
        <f t="shared" si="1"/>
        <v>-19.849507641260136</v>
      </c>
    </row>
    <row r="75" spans="1:8" x14ac:dyDescent="0.25">
      <c r="A75" t="s">
        <v>11</v>
      </c>
      <c r="B75" t="s">
        <v>11</v>
      </c>
      <c r="C75">
        <v>58</v>
      </c>
      <c r="D75" t="s">
        <v>9</v>
      </c>
      <c r="E75">
        <v>35</v>
      </c>
      <c r="F75" t="s">
        <v>10</v>
      </c>
      <c r="G75">
        <v>-35</v>
      </c>
      <c r="H75">
        <f t="shared" si="1"/>
        <v>-19.652977862633797</v>
      </c>
    </row>
    <row r="76" spans="1:8" x14ac:dyDescent="0.25">
      <c r="A76" t="s">
        <v>11</v>
      </c>
      <c r="B76" t="s">
        <v>11</v>
      </c>
      <c r="C76">
        <v>59</v>
      </c>
      <c r="D76" t="s">
        <v>9</v>
      </c>
      <c r="E76">
        <v>35</v>
      </c>
      <c r="F76" t="s">
        <v>10</v>
      </c>
      <c r="G76">
        <v>-35</v>
      </c>
      <c r="H76">
        <f t="shared" si="1"/>
        <v>-19.458393923399804</v>
      </c>
    </row>
    <row r="77" spans="1:8" x14ac:dyDescent="0.25">
      <c r="A77" t="s">
        <v>15</v>
      </c>
      <c r="B77" t="s">
        <v>16</v>
      </c>
      <c r="C77">
        <v>60</v>
      </c>
      <c r="D77" t="s">
        <v>17</v>
      </c>
      <c r="E77">
        <v>1718.69973951101</v>
      </c>
      <c r="F77">
        <v>59.568507415274503</v>
      </c>
      <c r="G77">
        <v>1718.69973951101</v>
      </c>
      <c r="H77">
        <f t="shared" si="1"/>
        <v>946.05761152616299</v>
      </c>
    </row>
    <row r="78" spans="1:8" x14ac:dyDescent="0.25">
      <c r="A78" t="s">
        <v>11</v>
      </c>
      <c r="B78" t="s">
        <v>11</v>
      </c>
      <c r="C78">
        <v>60</v>
      </c>
      <c r="D78" t="s">
        <v>9</v>
      </c>
      <c r="E78">
        <v>35</v>
      </c>
      <c r="F78" t="s">
        <v>10</v>
      </c>
      <c r="G78">
        <v>-35</v>
      </c>
      <c r="H78">
        <f t="shared" si="1"/>
        <v>-19.265736557821587</v>
      </c>
    </row>
    <row r="79" spans="1:8" x14ac:dyDescent="0.25">
      <c r="A79" t="s">
        <v>11</v>
      </c>
      <c r="B79" t="s">
        <v>11</v>
      </c>
      <c r="C79">
        <v>61</v>
      </c>
      <c r="D79" t="s">
        <v>9</v>
      </c>
      <c r="E79">
        <v>35</v>
      </c>
      <c r="F79" t="s">
        <v>10</v>
      </c>
      <c r="G79">
        <v>-35</v>
      </c>
      <c r="H79">
        <f t="shared" si="1"/>
        <v>-19.074986690912461</v>
      </c>
    </row>
    <row r="80" spans="1:8" x14ac:dyDescent="0.25">
      <c r="A80" t="s">
        <v>11</v>
      </c>
      <c r="B80" t="s">
        <v>11</v>
      </c>
      <c r="C80">
        <v>62</v>
      </c>
      <c r="D80" t="s">
        <v>9</v>
      </c>
      <c r="E80">
        <v>35</v>
      </c>
      <c r="F80" t="s">
        <v>10</v>
      </c>
      <c r="G80">
        <v>-35</v>
      </c>
      <c r="H80">
        <f t="shared" si="1"/>
        <v>-18.88612543654699</v>
      </c>
    </row>
    <row r="81" spans="1:8" x14ac:dyDescent="0.25">
      <c r="A81" t="s">
        <v>11</v>
      </c>
      <c r="B81" t="s">
        <v>11</v>
      </c>
      <c r="C81">
        <v>63</v>
      </c>
      <c r="D81" t="s">
        <v>9</v>
      </c>
      <c r="E81">
        <v>35</v>
      </c>
      <c r="F81" t="s">
        <v>10</v>
      </c>
      <c r="G81">
        <v>-35</v>
      </c>
      <c r="H81">
        <f t="shared" si="1"/>
        <v>-18.699134095591084</v>
      </c>
    </row>
    <row r="82" spans="1:8" x14ac:dyDescent="0.25">
      <c r="A82" t="s">
        <v>11</v>
      </c>
      <c r="B82" t="s">
        <v>11</v>
      </c>
      <c r="C82">
        <v>64</v>
      </c>
      <c r="D82" t="s">
        <v>9</v>
      </c>
      <c r="E82">
        <v>35</v>
      </c>
      <c r="F82" t="s">
        <v>10</v>
      </c>
      <c r="G82">
        <v>-35</v>
      </c>
      <c r="H82">
        <f t="shared" si="1"/>
        <v>-18.513994154050575</v>
      </c>
    </row>
    <row r="83" spans="1:8" x14ac:dyDescent="0.25">
      <c r="A83" t="s">
        <v>11</v>
      </c>
      <c r="B83" t="s">
        <v>11</v>
      </c>
      <c r="C83">
        <v>65</v>
      </c>
      <c r="D83" t="s">
        <v>9</v>
      </c>
      <c r="E83">
        <v>35</v>
      </c>
      <c r="F83" t="s">
        <v>10</v>
      </c>
      <c r="G83">
        <v>-35</v>
      </c>
      <c r="H83">
        <f t="shared" si="1"/>
        <v>-18.330687281238191</v>
      </c>
    </row>
    <row r="84" spans="1:8" x14ac:dyDescent="0.25">
      <c r="A84" t="s">
        <v>11</v>
      </c>
      <c r="B84" t="s">
        <v>11</v>
      </c>
      <c r="C84">
        <v>66</v>
      </c>
      <c r="D84" t="s">
        <v>9</v>
      </c>
      <c r="E84">
        <v>35</v>
      </c>
      <c r="F84" t="s">
        <v>10</v>
      </c>
      <c r="G84">
        <v>-35</v>
      </c>
      <c r="H84">
        <f t="shared" si="1"/>
        <v>-18.149195327958605</v>
      </c>
    </row>
    <row r="85" spans="1:8" x14ac:dyDescent="0.25">
      <c r="A85" t="s">
        <v>11</v>
      </c>
      <c r="B85" t="s">
        <v>11</v>
      </c>
      <c r="C85">
        <v>67</v>
      </c>
      <c r="D85" t="s">
        <v>9</v>
      </c>
      <c r="E85">
        <v>35</v>
      </c>
      <c r="F85" t="s">
        <v>10</v>
      </c>
      <c r="G85">
        <v>-35</v>
      </c>
      <c r="H85">
        <f t="shared" si="1"/>
        <v>-17.969500324711493</v>
      </c>
    </row>
    <row r="86" spans="1:8" x14ac:dyDescent="0.25">
      <c r="A86" t="s">
        <v>15</v>
      </c>
      <c r="B86" t="s">
        <v>16</v>
      </c>
      <c r="C86">
        <v>68</v>
      </c>
      <c r="D86" t="s">
        <v>17</v>
      </c>
      <c r="E86">
        <v>2086.18307347365</v>
      </c>
      <c r="F86">
        <v>57.130729669942703</v>
      </c>
      <c r="G86">
        <v>2086.18307347365</v>
      </c>
      <c r="H86">
        <f t="shared" si="1"/>
        <v>1060.4714969219906</v>
      </c>
    </row>
    <row r="87" spans="1:8" x14ac:dyDescent="0.25">
      <c r="A87" t="s">
        <v>11</v>
      </c>
      <c r="B87" t="s">
        <v>11</v>
      </c>
      <c r="C87">
        <v>68</v>
      </c>
      <c r="D87" t="s">
        <v>9</v>
      </c>
      <c r="E87">
        <v>35</v>
      </c>
      <c r="F87" t="s">
        <v>10</v>
      </c>
      <c r="G87">
        <v>-35</v>
      </c>
      <c r="H87">
        <f t="shared" si="1"/>
        <v>-17.791584479912366</v>
      </c>
    </row>
    <row r="88" spans="1:8" x14ac:dyDescent="0.25">
      <c r="A88" t="s">
        <v>11</v>
      </c>
      <c r="B88" t="s">
        <v>11</v>
      </c>
      <c r="C88">
        <v>69</v>
      </c>
      <c r="D88" t="s">
        <v>9</v>
      </c>
      <c r="E88">
        <v>35</v>
      </c>
      <c r="F88" t="s">
        <v>10</v>
      </c>
      <c r="G88">
        <v>-35</v>
      </c>
      <c r="H88">
        <f t="shared" si="1"/>
        <v>-17.615430178131056</v>
      </c>
    </row>
    <row r="89" spans="1:8" x14ac:dyDescent="0.25">
      <c r="A89" t="s">
        <v>11</v>
      </c>
      <c r="B89" t="s">
        <v>11</v>
      </c>
      <c r="C89">
        <v>70</v>
      </c>
      <c r="D89" t="s">
        <v>9</v>
      </c>
      <c r="E89">
        <v>35</v>
      </c>
      <c r="F89" t="s">
        <v>10</v>
      </c>
      <c r="G89">
        <v>-35</v>
      </c>
      <c r="H89">
        <f t="shared" si="1"/>
        <v>-17.441019978347576</v>
      </c>
    </row>
    <row r="90" spans="1:8" x14ac:dyDescent="0.25">
      <c r="A90" t="s">
        <v>11</v>
      </c>
      <c r="B90" t="s">
        <v>11</v>
      </c>
      <c r="C90">
        <v>71</v>
      </c>
      <c r="D90" t="s">
        <v>9</v>
      </c>
      <c r="E90">
        <v>35</v>
      </c>
      <c r="F90" t="s">
        <v>10</v>
      </c>
      <c r="G90">
        <v>-35</v>
      </c>
      <c r="H90">
        <f t="shared" si="1"/>
        <v>-17.268336612225333</v>
      </c>
    </row>
    <row r="91" spans="1:8" x14ac:dyDescent="0.25">
      <c r="A91" t="s">
        <v>11</v>
      </c>
      <c r="B91" t="s">
        <v>11</v>
      </c>
      <c r="C91">
        <v>72</v>
      </c>
      <c r="D91" t="s">
        <v>9</v>
      </c>
      <c r="E91">
        <v>35</v>
      </c>
      <c r="F91" t="s">
        <v>10</v>
      </c>
      <c r="G91">
        <v>-35</v>
      </c>
      <c r="H91">
        <f t="shared" si="1"/>
        <v>-17.097362982401314</v>
      </c>
    </row>
    <row r="92" spans="1:8" x14ac:dyDescent="0.25">
      <c r="A92" t="s">
        <v>11</v>
      </c>
      <c r="B92" t="s">
        <v>11</v>
      </c>
      <c r="C92">
        <v>73</v>
      </c>
      <c r="D92" t="s">
        <v>9</v>
      </c>
      <c r="E92">
        <v>35</v>
      </c>
      <c r="F92" t="s">
        <v>10</v>
      </c>
      <c r="G92">
        <v>-35</v>
      </c>
      <c r="H92">
        <f t="shared" si="1"/>
        <v>-16.92808216079338</v>
      </c>
    </row>
    <row r="93" spans="1:8" x14ac:dyDescent="0.25">
      <c r="A93" t="s">
        <v>11</v>
      </c>
      <c r="B93" t="s">
        <v>11</v>
      </c>
      <c r="C93">
        <v>74</v>
      </c>
      <c r="D93" t="s">
        <v>9</v>
      </c>
      <c r="E93">
        <v>35</v>
      </c>
      <c r="F93" t="s">
        <v>10</v>
      </c>
      <c r="G93">
        <v>-35</v>
      </c>
      <c r="H93">
        <f t="shared" si="1"/>
        <v>-16.760477386924137</v>
      </c>
    </row>
    <row r="94" spans="1:8" x14ac:dyDescent="0.25">
      <c r="A94" t="s">
        <v>11</v>
      </c>
      <c r="B94" t="s">
        <v>11</v>
      </c>
      <c r="C94">
        <v>75</v>
      </c>
      <c r="D94" t="s">
        <v>9</v>
      </c>
      <c r="E94">
        <v>35</v>
      </c>
      <c r="F94" t="s">
        <v>10</v>
      </c>
      <c r="G94">
        <v>-35</v>
      </c>
      <c r="H94">
        <f t="shared" si="1"/>
        <v>-16.594532066261525</v>
      </c>
    </row>
    <row r="95" spans="1:8" x14ac:dyDescent="0.25">
      <c r="A95" t="s">
        <v>15</v>
      </c>
      <c r="B95" t="s">
        <v>16</v>
      </c>
      <c r="C95">
        <v>76</v>
      </c>
      <c r="D95" t="s">
        <v>17</v>
      </c>
      <c r="E95">
        <v>2481.41263360315</v>
      </c>
      <c r="F95">
        <v>52.733934706036599</v>
      </c>
      <c r="G95">
        <v>2481.41263360315</v>
      </c>
      <c r="H95">
        <f t="shared" si="1"/>
        <v>1164.8622777356134</v>
      </c>
    </row>
    <row r="96" spans="1:8" x14ac:dyDescent="0.25">
      <c r="A96" t="s">
        <v>11</v>
      </c>
      <c r="B96" t="s">
        <v>11</v>
      </c>
      <c r="C96">
        <v>76</v>
      </c>
      <c r="D96" t="s">
        <v>9</v>
      </c>
      <c r="E96">
        <v>35</v>
      </c>
      <c r="F96" t="s">
        <v>10</v>
      </c>
      <c r="G96">
        <v>-35</v>
      </c>
      <c r="H96">
        <f t="shared" si="1"/>
        <v>-16.430229768575767</v>
      </c>
    </row>
    <row r="97" spans="1:8" x14ac:dyDescent="0.25">
      <c r="A97" t="s">
        <v>11</v>
      </c>
      <c r="B97" t="s">
        <v>11</v>
      </c>
      <c r="C97">
        <v>77</v>
      </c>
      <c r="D97" t="s">
        <v>9</v>
      </c>
      <c r="E97">
        <v>35</v>
      </c>
      <c r="F97" t="s">
        <v>10</v>
      </c>
      <c r="G97">
        <v>-35</v>
      </c>
      <c r="H97">
        <f t="shared" si="1"/>
        <v>-16.26755422631264</v>
      </c>
    </row>
    <row r="98" spans="1:8" x14ac:dyDescent="0.25">
      <c r="A98" t="s">
        <v>11</v>
      </c>
      <c r="B98" t="s">
        <v>11</v>
      </c>
      <c r="C98">
        <v>78</v>
      </c>
      <c r="D98" t="s">
        <v>9</v>
      </c>
      <c r="E98">
        <v>35</v>
      </c>
      <c r="F98" t="s">
        <v>10</v>
      </c>
      <c r="G98">
        <v>-35</v>
      </c>
      <c r="H98">
        <f t="shared" si="1"/>
        <v>-16.106489332982807</v>
      </c>
    </row>
    <row r="99" spans="1:8" x14ac:dyDescent="0.25">
      <c r="A99" t="s">
        <v>11</v>
      </c>
      <c r="B99" t="s">
        <v>11</v>
      </c>
      <c r="C99">
        <v>79</v>
      </c>
      <c r="D99" t="s">
        <v>9</v>
      </c>
      <c r="E99">
        <v>35</v>
      </c>
      <c r="F99" t="s">
        <v>10</v>
      </c>
      <c r="G99">
        <v>-35</v>
      </c>
      <c r="H99">
        <f t="shared" si="1"/>
        <v>-15.947019141567143</v>
      </c>
    </row>
    <row r="100" spans="1:8" x14ac:dyDescent="0.25">
      <c r="A100" t="s">
        <v>11</v>
      </c>
      <c r="B100" t="s">
        <v>11</v>
      </c>
      <c r="C100">
        <v>80</v>
      </c>
      <c r="D100" t="s">
        <v>9</v>
      </c>
      <c r="E100">
        <v>35</v>
      </c>
      <c r="F100" t="s">
        <v>10</v>
      </c>
      <c r="G100">
        <v>-35</v>
      </c>
      <c r="H100">
        <f t="shared" si="1"/>
        <v>-15.789127862937761</v>
      </c>
    </row>
    <row r="101" spans="1:8" x14ac:dyDescent="0.25">
      <c r="A101" t="s">
        <v>11</v>
      </c>
      <c r="B101" t="s">
        <v>11</v>
      </c>
      <c r="C101">
        <v>81</v>
      </c>
      <c r="D101" t="s">
        <v>9</v>
      </c>
      <c r="E101">
        <v>35</v>
      </c>
      <c r="F101" t="s">
        <v>10</v>
      </c>
      <c r="G101">
        <v>-35</v>
      </c>
      <c r="H101">
        <f t="shared" si="1"/>
        <v>-15.632799864294812</v>
      </c>
    </row>
    <row r="102" spans="1:8" x14ac:dyDescent="0.25">
      <c r="A102" t="s">
        <v>11</v>
      </c>
      <c r="B102" t="s">
        <v>11</v>
      </c>
      <c r="C102">
        <v>82</v>
      </c>
      <c r="D102" t="s">
        <v>9</v>
      </c>
      <c r="E102">
        <v>35</v>
      </c>
      <c r="F102" t="s">
        <v>10</v>
      </c>
      <c r="G102">
        <v>-35</v>
      </c>
      <c r="H102">
        <f t="shared" si="1"/>
        <v>-15.478019667618621</v>
      </c>
    </row>
    <row r="103" spans="1:8" x14ac:dyDescent="0.25">
      <c r="A103" t="s">
        <v>11</v>
      </c>
      <c r="B103" t="s">
        <v>11</v>
      </c>
      <c r="C103">
        <v>83</v>
      </c>
      <c r="D103" t="s">
        <v>9</v>
      </c>
      <c r="E103">
        <v>35</v>
      </c>
      <c r="F103" t="s">
        <v>10</v>
      </c>
      <c r="G103">
        <v>-35</v>
      </c>
      <c r="H103">
        <f t="shared" si="1"/>
        <v>-15.324771948137252</v>
      </c>
    </row>
    <row r="104" spans="1:8" x14ac:dyDescent="0.25">
      <c r="A104" t="s">
        <v>15</v>
      </c>
      <c r="B104" t="s">
        <v>16</v>
      </c>
      <c r="C104">
        <v>84</v>
      </c>
      <c r="D104" t="s">
        <v>17</v>
      </c>
      <c r="E104">
        <v>3231.5257282602402</v>
      </c>
      <c r="F104">
        <v>46.737712877489699</v>
      </c>
      <c r="G104">
        <v>3231.5257282602402</v>
      </c>
      <c r="H104">
        <f t="shared" si="1"/>
        <v>1400.9164025495427</v>
      </c>
    </row>
    <row r="105" spans="1:8" x14ac:dyDescent="0.25">
      <c r="A105" t="s">
        <v>11</v>
      </c>
      <c r="B105" t="s">
        <v>11</v>
      </c>
      <c r="C105">
        <v>84</v>
      </c>
      <c r="D105" t="s">
        <v>9</v>
      </c>
      <c r="E105">
        <v>35</v>
      </c>
      <c r="F105" t="s">
        <v>10</v>
      </c>
      <c r="G105">
        <v>-35</v>
      </c>
      <c r="H105">
        <f t="shared" si="1"/>
        <v>-15.17304153280916</v>
      </c>
    </row>
    <row r="106" spans="1:8" x14ac:dyDescent="0.25">
      <c r="A106" t="s">
        <v>11</v>
      </c>
      <c r="B106" t="s">
        <v>11</v>
      </c>
      <c r="C106">
        <v>85</v>
      </c>
      <c r="D106" t="s">
        <v>9</v>
      </c>
      <c r="E106">
        <v>35</v>
      </c>
      <c r="F106" t="s">
        <v>10</v>
      </c>
      <c r="G106">
        <v>-35</v>
      </c>
      <c r="H106">
        <f t="shared" si="1"/>
        <v>-15.022813398820954</v>
      </c>
    </row>
    <row r="107" spans="1:8" x14ac:dyDescent="0.25">
      <c r="A107" t="s">
        <v>11</v>
      </c>
      <c r="B107" t="s">
        <v>11</v>
      </c>
      <c r="C107">
        <v>86</v>
      </c>
      <c r="D107" t="s">
        <v>9</v>
      </c>
      <c r="E107">
        <v>35</v>
      </c>
      <c r="F107" t="s">
        <v>10</v>
      </c>
      <c r="G107">
        <v>-35</v>
      </c>
      <c r="H107">
        <f t="shared" si="1"/>
        <v>-14.874072672099951</v>
      </c>
    </row>
    <row r="108" spans="1:8" x14ac:dyDescent="0.25">
      <c r="A108" t="s">
        <v>11</v>
      </c>
      <c r="B108" t="s">
        <v>11</v>
      </c>
      <c r="C108">
        <v>87</v>
      </c>
      <c r="D108" t="s">
        <v>9</v>
      </c>
      <c r="E108">
        <v>35</v>
      </c>
      <c r="F108" t="s">
        <v>10</v>
      </c>
      <c r="G108">
        <v>-35</v>
      </c>
      <c r="H108">
        <f t="shared" si="1"/>
        <v>-14.726804625841538</v>
      </c>
    </row>
    <row r="109" spans="1:8" x14ac:dyDescent="0.25">
      <c r="A109" t="s">
        <v>11</v>
      </c>
      <c r="B109" t="s">
        <v>11</v>
      </c>
      <c r="C109">
        <v>88</v>
      </c>
      <c r="D109" t="s">
        <v>9</v>
      </c>
      <c r="E109">
        <v>35</v>
      </c>
      <c r="F109" t="s">
        <v>10</v>
      </c>
      <c r="G109">
        <v>-35</v>
      </c>
      <c r="H109">
        <f t="shared" si="1"/>
        <v>-14.580994679051024</v>
      </c>
    </row>
    <row r="110" spans="1:8" x14ac:dyDescent="0.25">
      <c r="A110" t="s">
        <v>11</v>
      </c>
      <c r="B110" t="s">
        <v>11</v>
      </c>
      <c r="C110">
        <v>89</v>
      </c>
      <c r="D110" t="s">
        <v>9</v>
      </c>
      <c r="E110">
        <v>35</v>
      </c>
      <c r="F110" t="s">
        <v>10</v>
      </c>
      <c r="G110">
        <v>-35</v>
      </c>
      <c r="H110">
        <f t="shared" si="1"/>
        <v>-14.436628395100021</v>
      </c>
    </row>
    <row r="111" spans="1:8" x14ac:dyDescent="0.25">
      <c r="A111" t="s">
        <v>11</v>
      </c>
      <c r="B111" t="s">
        <v>11</v>
      </c>
      <c r="C111">
        <v>90</v>
      </c>
      <c r="D111" t="s">
        <v>9</v>
      </c>
      <c r="E111">
        <v>35</v>
      </c>
      <c r="F111" t="s">
        <v>10</v>
      </c>
      <c r="G111">
        <v>-35</v>
      </c>
      <c r="H111">
        <f t="shared" si="1"/>
        <v>-14.293691480297051</v>
      </c>
    </row>
    <row r="112" spans="1:8" x14ac:dyDescent="0.25">
      <c r="A112" t="s">
        <v>11</v>
      </c>
      <c r="B112" t="s">
        <v>11</v>
      </c>
      <c r="C112">
        <v>91</v>
      </c>
      <c r="D112" t="s">
        <v>9</v>
      </c>
      <c r="E112">
        <v>35</v>
      </c>
      <c r="F112" t="s">
        <v>10</v>
      </c>
      <c r="G112">
        <v>-35</v>
      </c>
      <c r="H112">
        <f t="shared" si="1"/>
        <v>-14.152169782472333</v>
      </c>
    </row>
    <row r="113" spans="1:8" x14ac:dyDescent="0.25">
      <c r="A113" t="s">
        <v>15</v>
      </c>
      <c r="B113" t="s">
        <v>16</v>
      </c>
      <c r="C113">
        <v>92</v>
      </c>
      <c r="D113" t="s">
        <v>17</v>
      </c>
      <c r="E113">
        <v>3122.8782889497102</v>
      </c>
      <c r="F113">
        <v>44.922984643987903</v>
      </c>
      <c r="G113">
        <v>3122.8782889497102</v>
      </c>
      <c r="H113">
        <f t="shared" si="1"/>
        <v>1250.2264145746249</v>
      </c>
    </row>
    <row r="114" spans="1:8" x14ac:dyDescent="0.25">
      <c r="A114" t="s">
        <v>11</v>
      </c>
      <c r="B114" t="s">
        <v>11</v>
      </c>
      <c r="C114">
        <v>92</v>
      </c>
      <c r="D114" t="s">
        <v>9</v>
      </c>
      <c r="E114">
        <v>35</v>
      </c>
      <c r="F114" t="s">
        <v>10</v>
      </c>
      <c r="G114">
        <v>-35</v>
      </c>
      <c r="H114">
        <f t="shared" si="1"/>
        <v>-14.012049289576568</v>
      </c>
    </row>
    <row r="115" spans="1:8" x14ac:dyDescent="0.25">
      <c r="A115" t="s">
        <v>11</v>
      </c>
      <c r="B115" t="s">
        <v>11</v>
      </c>
      <c r="C115">
        <v>93</v>
      </c>
      <c r="D115" t="s">
        <v>9</v>
      </c>
      <c r="E115">
        <v>35</v>
      </c>
      <c r="F115" t="s">
        <v>10</v>
      </c>
      <c r="G115">
        <v>-35</v>
      </c>
      <c r="H115">
        <f t="shared" si="1"/>
        <v>-13.873316128293631</v>
      </c>
    </row>
    <row r="116" spans="1:8" x14ac:dyDescent="0.25">
      <c r="A116" t="s">
        <v>11</v>
      </c>
      <c r="B116" t="s">
        <v>11</v>
      </c>
      <c r="C116">
        <v>94</v>
      </c>
      <c r="D116" t="s">
        <v>9</v>
      </c>
      <c r="E116">
        <v>35</v>
      </c>
      <c r="F116" t="s">
        <v>10</v>
      </c>
      <c r="G116">
        <v>-35</v>
      </c>
      <c r="H116">
        <f t="shared" si="1"/>
        <v>-13.735956562666956</v>
      </c>
    </row>
    <row r="117" spans="1:8" x14ac:dyDescent="0.25">
      <c r="A117" t="s">
        <v>11</v>
      </c>
      <c r="B117" t="s">
        <v>11</v>
      </c>
      <c r="C117">
        <v>95</v>
      </c>
      <c r="D117" t="s">
        <v>9</v>
      </c>
      <c r="E117">
        <v>35</v>
      </c>
      <c r="F117" t="s">
        <v>10</v>
      </c>
      <c r="G117">
        <v>-35</v>
      </c>
      <c r="H117">
        <f t="shared" si="1"/>
        <v>-13.599956992739566</v>
      </c>
    </row>
    <row r="118" spans="1:8" x14ac:dyDescent="0.25">
      <c r="A118" t="s">
        <v>11</v>
      </c>
      <c r="B118" t="s">
        <v>11</v>
      </c>
      <c r="C118">
        <v>96</v>
      </c>
      <c r="D118" t="s">
        <v>9</v>
      </c>
      <c r="E118">
        <v>35</v>
      </c>
      <c r="F118" t="s">
        <v>10</v>
      </c>
      <c r="G118">
        <v>-35</v>
      </c>
      <c r="H118">
        <f t="shared" si="1"/>
        <v>-13.465303953207489</v>
      </c>
    </row>
    <row r="119" spans="1:8" x14ac:dyDescent="0.25">
      <c r="A119" t="s">
        <v>11</v>
      </c>
      <c r="B119" t="s">
        <v>11</v>
      </c>
      <c r="C119">
        <v>97</v>
      </c>
      <c r="D119" t="s">
        <v>9</v>
      </c>
      <c r="E119">
        <v>35</v>
      </c>
      <c r="F119" t="s">
        <v>10</v>
      </c>
      <c r="G119">
        <v>-35</v>
      </c>
      <c r="H119">
        <f t="shared" si="1"/>
        <v>-13.331984112086621</v>
      </c>
    </row>
    <row r="120" spans="1:8" x14ac:dyDescent="0.25">
      <c r="A120" t="s">
        <v>11</v>
      </c>
      <c r="B120" t="s">
        <v>11</v>
      </c>
      <c r="C120">
        <v>98</v>
      </c>
      <c r="D120" t="s">
        <v>9</v>
      </c>
      <c r="E120">
        <v>35</v>
      </c>
      <c r="F120" t="s">
        <v>10</v>
      </c>
      <c r="G120">
        <v>-35</v>
      </c>
      <c r="H120">
        <f t="shared" si="1"/>
        <v>-13.199984269392695</v>
      </c>
    </row>
    <row r="121" spans="1:8" x14ac:dyDescent="0.25">
      <c r="A121" t="s">
        <v>11</v>
      </c>
      <c r="B121" t="s">
        <v>11</v>
      </c>
      <c r="C121">
        <v>99</v>
      </c>
      <c r="D121" t="s">
        <v>9</v>
      </c>
      <c r="E121">
        <v>35</v>
      </c>
      <c r="F121" t="s">
        <v>10</v>
      </c>
      <c r="G121">
        <v>-35</v>
      </c>
      <c r="H121">
        <f t="shared" si="1"/>
        <v>-13.069291355834354</v>
      </c>
    </row>
    <row r="122" spans="1:8" x14ac:dyDescent="0.25">
      <c r="A122" t="s">
        <v>15</v>
      </c>
      <c r="B122" t="s">
        <v>16</v>
      </c>
      <c r="C122">
        <v>100</v>
      </c>
      <c r="D122" t="s">
        <v>17</v>
      </c>
      <c r="E122">
        <v>4260.9235654800596</v>
      </c>
      <c r="F122">
        <v>44.3416435392217</v>
      </c>
      <c r="G122">
        <v>4260.9235654800596</v>
      </c>
      <c r="H122">
        <f t="shared" si="1"/>
        <v>1575.3112170353445</v>
      </c>
    </row>
    <row r="123" spans="1:8" x14ac:dyDescent="0.25">
      <c r="A123" t="s">
        <v>11</v>
      </c>
      <c r="B123" t="s">
        <v>11</v>
      </c>
      <c r="C123">
        <v>100</v>
      </c>
      <c r="D123" t="s">
        <v>9</v>
      </c>
      <c r="E123">
        <v>35</v>
      </c>
      <c r="F123" t="s">
        <v>10</v>
      </c>
      <c r="G123">
        <v>-35</v>
      </c>
      <c r="H123">
        <f t="shared" si="1"/>
        <v>-12.93989243151916</v>
      </c>
    </row>
    <row r="124" spans="1:8" x14ac:dyDescent="0.25">
      <c r="A124" t="s">
        <v>11</v>
      </c>
      <c r="B124" t="s">
        <v>11</v>
      </c>
      <c r="C124">
        <v>101</v>
      </c>
      <c r="D124" t="s">
        <v>9</v>
      </c>
      <c r="E124">
        <v>35</v>
      </c>
      <c r="F124" t="s">
        <v>10</v>
      </c>
      <c r="G124">
        <v>-35</v>
      </c>
      <c r="H124">
        <f t="shared" si="1"/>
        <v>-12.811774684672436</v>
      </c>
    </row>
    <row r="125" spans="1:8" x14ac:dyDescent="0.25">
      <c r="A125" t="s">
        <v>11</v>
      </c>
      <c r="B125" t="s">
        <v>11</v>
      </c>
      <c r="C125">
        <v>102</v>
      </c>
      <c r="D125" t="s">
        <v>9</v>
      </c>
      <c r="E125">
        <v>35</v>
      </c>
      <c r="F125" t="s">
        <v>10</v>
      </c>
      <c r="G125">
        <v>-35</v>
      </c>
      <c r="H125">
        <f t="shared" si="1"/>
        <v>-12.684925430368747</v>
      </c>
    </row>
    <row r="126" spans="1:8" x14ac:dyDescent="0.25">
      <c r="A126" t="s">
        <v>11</v>
      </c>
      <c r="B126" t="s">
        <v>11</v>
      </c>
      <c r="C126">
        <v>103</v>
      </c>
      <c r="D126" t="s">
        <v>9</v>
      </c>
      <c r="E126">
        <v>35</v>
      </c>
      <c r="F126" t="s">
        <v>10</v>
      </c>
      <c r="G126">
        <v>-35</v>
      </c>
      <c r="H126">
        <f t="shared" si="1"/>
        <v>-12.55933210927599</v>
      </c>
    </row>
    <row r="127" spans="1:8" x14ac:dyDescent="0.25">
      <c r="A127" t="s">
        <v>11</v>
      </c>
      <c r="B127" t="s">
        <v>11</v>
      </c>
      <c r="C127">
        <v>104</v>
      </c>
      <c r="D127" t="s">
        <v>9</v>
      </c>
      <c r="E127">
        <v>35</v>
      </c>
      <c r="F127" t="s">
        <v>10</v>
      </c>
      <c r="G127">
        <v>-35</v>
      </c>
      <c r="H127">
        <f t="shared" si="1"/>
        <v>-12.434982286411868</v>
      </c>
    </row>
    <row r="128" spans="1:8" x14ac:dyDescent="0.25">
      <c r="A128" t="s">
        <v>11</v>
      </c>
      <c r="B128" t="s">
        <v>11</v>
      </c>
      <c r="C128">
        <v>105</v>
      </c>
      <c r="D128" t="s">
        <v>9</v>
      </c>
      <c r="E128">
        <v>35</v>
      </c>
      <c r="F128" t="s">
        <v>10</v>
      </c>
      <c r="G128">
        <v>-35</v>
      </c>
      <c r="H128">
        <f t="shared" si="1"/>
        <v>-12.311863649912741</v>
      </c>
    </row>
    <row r="129" spans="1:8" x14ac:dyDescent="0.25">
      <c r="A129" t="s">
        <v>11</v>
      </c>
      <c r="B129" t="s">
        <v>11</v>
      </c>
      <c r="C129">
        <v>106</v>
      </c>
      <c r="D129" t="s">
        <v>9</v>
      </c>
      <c r="E129">
        <v>35</v>
      </c>
      <c r="F129" t="s">
        <v>10</v>
      </c>
      <c r="G129">
        <v>-35</v>
      </c>
      <c r="H129">
        <f t="shared" si="1"/>
        <v>-12.189964009814592</v>
      </c>
    </row>
    <row r="130" spans="1:8" x14ac:dyDescent="0.25">
      <c r="A130" t="s">
        <v>11</v>
      </c>
      <c r="B130" t="s">
        <v>11</v>
      </c>
      <c r="C130">
        <v>107</v>
      </c>
      <c r="D130" t="s">
        <v>9</v>
      </c>
      <c r="E130">
        <v>35</v>
      </c>
      <c r="F130" t="s">
        <v>10</v>
      </c>
      <c r="G130">
        <v>-35</v>
      </c>
      <c r="H130">
        <f t="shared" si="1"/>
        <v>-12.069271296846136</v>
      </c>
    </row>
    <row r="131" spans="1:8" x14ac:dyDescent="0.25">
      <c r="A131" t="s">
        <v>15</v>
      </c>
      <c r="B131" t="s">
        <v>16</v>
      </c>
      <c r="C131">
        <v>108</v>
      </c>
      <c r="D131" t="s">
        <v>17</v>
      </c>
      <c r="E131">
        <v>3895.1068556903401</v>
      </c>
      <c r="F131">
        <v>39.1257520103945</v>
      </c>
      <c r="G131">
        <v>3895.1068556903401</v>
      </c>
      <c r="H131">
        <f t="shared" ref="H131:H140" si="2">G131/(1+$O$2)^C131</f>
        <v>1329.8755692088266</v>
      </c>
    </row>
    <row r="132" spans="1:8" x14ac:dyDescent="0.25">
      <c r="A132" t="s">
        <v>11</v>
      </c>
      <c r="B132" t="s">
        <v>11</v>
      </c>
      <c r="C132">
        <v>108</v>
      </c>
      <c r="D132" t="s">
        <v>9</v>
      </c>
      <c r="E132">
        <v>35</v>
      </c>
      <c r="F132" t="s">
        <v>10</v>
      </c>
      <c r="G132">
        <v>-35</v>
      </c>
      <c r="H132">
        <f t="shared" si="2"/>
        <v>-11.949773561233796</v>
      </c>
    </row>
    <row r="133" spans="1:8" x14ac:dyDescent="0.25">
      <c r="A133" t="s">
        <v>11</v>
      </c>
      <c r="B133" t="s">
        <v>11</v>
      </c>
      <c r="C133">
        <v>109</v>
      </c>
      <c r="D133" t="s">
        <v>9</v>
      </c>
      <c r="E133">
        <v>35</v>
      </c>
      <c r="F133" t="s">
        <v>10</v>
      </c>
      <c r="G133">
        <v>-35</v>
      </c>
      <c r="H133">
        <f t="shared" si="2"/>
        <v>-11.831458971518607</v>
      </c>
    </row>
    <row r="134" spans="1:8" x14ac:dyDescent="0.25">
      <c r="A134" t="s">
        <v>11</v>
      </c>
      <c r="B134" t="s">
        <v>11</v>
      </c>
      <c r="C134">
        <v>110</v>
      </c>
      <c r="D134" t="s">
        <v>9</v>
      </c>
      <c r="E134">
        <v>35</v>
      </c>
      <c r="F134" t="s">
        <v>10</v>
      </c>
      <c r="G134">
        <v>-35</v>
      </c>
      <c r="H134">
        <f t="shared" si="2"/>
        <v>-11.71431581338476</v>
      </c>
    </row>
    <row r="135" spans="1:8" x14ac:dyDescent="0.25">
      <c r="A135" t="s">
        <v>11</v>
      </c>
      <c r="B135" t="s">
        <v>11</v>
      </c>
      <c r="C135">
        <v>111</v>
      </c>
      <c r="D135" t="s">
        <v>9</v>
      </c>
      <c r="E135">
        <v>35</v>
      </c>
      <c r="F135" t="s">
        <v>10</v>
      </c>
      <c r="G135">
        <v>-35</v>
      </c>
      <c r="H135">
        <f t="shared" si="2"/>
        <v>-11.598332488499766</v>
      </c>
    </row>
    <row r="136" spans="1:8" x14ac:dyDescent="0.25">
      <c r="A136" t="s">
        <v>11</v>
      </c>
      <c r="B136" t="s">
        <v>11</v>
      </c>
      <c r="C136">
        <v>112</v>
      </c>
      <c r="D136" t="s">
        <v>9</v>
      </c>
      <c r="E136">
        <v>35</v>
      </c>
      <c r="F136" t="s">
        <v>10</v>
      </c>
      <c r="G136">
        <v>-35</v>
      </c>
      <c r="H136">
        <f t="shared" si="2"/>
        <v>-11.483497513366101</v>
      </c>
    </row>
    <row r="137" spans="1:8" x14ac:dyDescent="0.25">
      <c r="A137" t="s">
        <v>11</v>
      </c>
      <c r="B137" t="s">
        <v>11</v>
      </c>
      <c r="C137">
        <v>113</v>
      </c>
      <c r="D137" t="s">
        <v>9</v>
      </c>
      <c r="E137">
        <v>35</v>
      </c>
      <c r="F137" t="s">
        <v>10</v>
      </c>
      <c r="G137">
        <v>-35</v>
      </c>
      <c r="H137">
        <f t="shared" si="2"/>
        <v>-11.369799518184259</v>
      </c>
    </row>
    <row r="138" spans="1:8" x14ac:dyDescent="0.25">
      <c r="A138" t="s">
        <v>11</v>
      </c>
      <c r="B138" t="s">
        <v>11</v>
      </c>
      <c r="C138">
        <v>114</v>
      </c>
      <c r="D138" t="s">
        <v>9</v>
      </c>
      <c r="E138">
        <v>35</v>
      </c>
      <c r="F138" t="s">
        <v>10</v>
      </c>
      <c r="G138">
        <v>-35</v>
      </c>
      <c r="H138">
        <f t="shared" si="2"/>
        <v>-11.257227245726988</v>
      </c>
    </row>
    <row r="139" spans="1:8" x14ac:dyDescent="0.25">
      <c r="A139" t="s">
        <v>11</v>
      </c>
      <c r="B139" t="s">
        <v>11</v>
      </c>
      <c r="C139">
        <v>115</v>
      </c>
      <c r="D139" t="s">
        <v>9</v>
      </c>
      <c r="E139">
        <v>35</v>
      </c>
      <c r="F139" t="s">
        <v>10</v>
      </c>
      <c r="G139">
        <v>-35</v>
      </c>
      <c r="H139">
        <f t="shared" si="2"/>
        <v>-11.145769550224742</v>
      </c>
    </row>
    <row r="140" spans="1:8" x14ac:dyDescent="0.25">
      <c r="A140" t="s">
        <v>11</v>
      </c>
      <c r="B140" t="s">
        <v>11</v>
      </c>
      <c r="C140">
        <v>116</v>
      </c>
      <c r="D140" t="s">
        <v>9</v>
      </c>
      <c r="E140">
        <v>35</v>
      </c>
      <c r="F140" t="s">
        <v>10</v>
      </c>
      <c r="G140">
        <v>-35</v>
      </c>
      <c r="H140">
        <f t="shared" si="2"/>
        <v>-11.03541539626212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B878-F9FD-4DFA-9480-2B09A2AC5D37}">
  <dimension ref="A1:J108"/>
  <sheetViews>
    <sheetView workbookViewId="0">
      <selection activeCell="J18" activeCellId="3" sqref="J8 J3 J13 J18"/>
    </sheetView>
  </sheetViews>
  <sheetFormatPr baseColWidth="10" defaultRowHeight="15" x14ac:dyDescent="0.25"/>
  <sheetData>
    <row r="1" spans="1:10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</v>
      </c>
      <c r="J1" t="s">
        <v>7</v>
      </c>
    </row>
    <row r="2" spans="1:10" x14ac:dyDescent="0.25">
      <c r="A2">
        <v>2116</v>
      </c>
      <c r="B2" t="s">
        <v>29</v>
      </c>
      <c r="C2">
        <v>245.45781687227401</v>
      </c>
      <c r="D2">
        <v>34568.360623833403</v>
      </c>
      <c r="E2">
        <v>65.8471594259113</v>
      </c>
      <c r="F2">
        <v>987.70739138866998</v>
      </c>
      <c r="G2">
        <v>311.30497629818598</v>
      </c>
      <c r="H2">
        <v>35556.068015222103</v>
      </c>
      <c r="I2">
        <v>0</v>
      </c>
    </row>
    <row r="3" spans="1:10" x14ac:dyDescent="0.25">
      <c r="A3">
        <v>2116</v>
      </c>
      <c r="B3" t="s">
        <v>30</v>
      </c>
      <c r="C3">
        <v>92.180282245833197</v>
      </c>
      <c r="D3">
        <v>12583.5635308978</v>
      </c>
      <c r="E3">
        <v>24.536869729082699</v>
      </c>
      <c r="F3">
        <v>368.05304593624101</v>
      </c>
      <c r="G3">
        <v>116.71715197491601</v>
      </c>
      <c r="H3">
        <v>12951.6165768341</v>
      </c>
      <c r="I3">
        <v>0</v>
      </c>
      <c r="J3">
        <f>H3/1.02^I3</f>
        <v>12951.6165768341</v>
      </c>
    </row>
    <row r="4" spans="1:10" x14ac:dyDescent="0.25">
      <c r="A4">
        <v>2117</v>
      </c>
      <c r="B4" t="s">
        <v>29</v>
      </c>
      <c r="C4">
        <v>156.24506337110901</v>
      </c>
      <c r="D4">
        <v>22929.690458537199</v>
      </c>
      <c r="E4">
        <v>42.549505532761501</v>
      </c>
      <c r="F4">
        <v>638.24258299142195</v>
      </c>
      <c r="G4">
        <v>198.79456890387101</v>
      </c>
      <c r="H4">
        <v>23567.933041528599</v>
      </c>
      <c r="I4">
        <v>1</v>
      </c>
    </row>
    <row r="5" spans="1:10" x14ac:dyDescent="0.25">
      <c r="A5">
        <v>2118</v>
      </c>
      <c r="B5" t="s">
        <v>29</v>
      </c>
      <c r="C5">
        <v>159.239145228788</v>
      </c>
      <c r="D5">
        <v>23800.582232145101</v>
      </c>
      <c r="E5">
        <v>43.811521936765303</v>
      </c>
      <c r="F5">
        <v>657.17282905147999</v>
      </c>
      <c r="G5">
        <v>203.05066716555399</v>
      </c>
      <c r="H5">
        <v>24457.7550611966</v>
      </c>
      <c r="I5">
        <v>2</v>
      </c>
    </row>
    <row r="6" spans="1:10" x14ac:dyDescent="0.25">
      <c r="A6">
        <v>2119</v>
      </c>
      <c r="B6" t="s">
        <v>29</v>
      </c>
      <c r="C6">
        <v>162.25972510088999</v>
      </c>
      <c r="D6">
        <v>24338.958765133499</v>
      </c>
      <c r="E6">
        <v>45.096514155026298</v>
      </c>
      <c r="F6">
        <v>676.44771232539404</v>
      </c>
      <c r="G6">
        <v>207.35623925591599</v>
      </c>
      <c r="H6">
        <v>25015.406477458899</v>
      </c>
      <c r="I6">
        <v>3</v>
      </c>
    </row>
    <row r="7" spans="1:10" x14ac:dyDescent="0.25">
      <c r="A7">
        <v>2120</v>
      </c>
      <c r="B7" t="s">
        <v>29</v>
      </c>
      <c r="C7">
        <v>165.30674788882499</v>
      </c>
      <c r="D7">
        <v>24974.816056580799</v>
      </c>
      <c r="E7">
        <v>46.404657433730499</v>
      </c>
      <c r="F7">
        <v>696.06986150595799</v>
      </c>
      <c r="G7">
        <v>211.711405322556</v>
      </c>
      <c r="H7">
        <v>25670.8859180867</v>
      </c>
      <c r="I7">
        <v>4</v>
      </c>
    </row>
    <row r="8" spans="1:10" x14ac:dyDescent="0.25">
      <c r="A8">
        <v>2120</v>
      </c>
      <c r="B8" t="s">
        <v>30</v>
      </c>
      <c r="C8">
        <v>56.3888742341735</v>
      </c>
      <c r="D8">
        <v>8458.3311351260309</v>
      </c>
      <c r="E8">
        <v>15.703638256479699</v>
      </c>
      <c r="F8">
        <v>235.554573847195</v>
      </c>
      <c r="G8">
        <v>72.092512490653206</v>
      </c>
      <c r="H8">
        <v>8693.8857089732301</v>
      </c>
      <c r="I8">
        <v>4</v>
      </c>
      <c r="J8">
        <f>H8/1.02^I8</f>
        <v>8031.8065466321978</v>
      </c>
    </row>
    <row r="9" spans="1:10" x14ac:dyDescent="0.25">
      <c r="A9">
        <v>2121</v>
      </c>
      <c r="B9" t="s">
        <v>29</v>
      </c>
      <c r="C9">
        <v>110.934573934867</v>
      </c>
      <c r="D9">
        <v>17182.318983830301</v>
      </c>
      <c r="E9">
        <v>31.577965411364499</v>
      </c>
      <c r="F9">
        <v>473.66948117046701</v>
      </c>
      <c r="G9">
        <v>142.51253934623199</v>
      </c>
      <c r="H9">
        <v>17655.988465000701</v>
      </c>
      <c r="I9">
        <v>5</v>
      </c>
    </row>
    <row r="10" spans="1:10" x14ac:dyDescent="0.25">
      <c r="A10">
        <v>2122</v>
      </c>
      <c r="B10" t="s">
        <v>29</v>
      </c>
      <c r="C10">
        <v>112.96847678648901</v>
      </c>
      <c r="D10">
        <v>17496.813574420699</v>
      </c>
      <c r="E10">
        <v>32.470325676069997</v>
      </c>
      <c r="F10">
        <v>487.05488514105099</v>
      </c>
      <c r="G10">
        <v>145.43880246255901</v>
      </c>
      <c r="H10">
        <v>17983.868459561701</v>
      </c>
      <c r="I10">
        <v>6</v>
      </c>
    </row>
    <row r="11" spans="1:10" x14ac:dyDescent="0.25">
      <c r="A11">
        <v>2123</v>
      </c>
      <c r="B11" t="s">
        <v>29</v>
      </c>
      <c r="C11">
        <v>115.01954618351699</v>
      </c>
      <c r="D11">
        <v>17993.2873786495</v>
      </c>
      <c r="E11">
        <v>33.378214555412299</v>
      </c>
      <c r="F11">
        <v>500.67321833118501</v>
      </c>
      <c r="G11">
        <v>148.39776073892901</v>
      </c>
      <c r="H11">
        <v>18493.960596980702</v>
      </c>
      <c r="I11">
        <v>7</v>
      </c>
    </row>
    <row r="12" spans="1:10" x14ac:dyDescent="0.25">
      <c r="A12">
        <v>2124</v>
      </c>
      <c r="B12" t="s">
        <v>29</v>
      </c>
      <c r="C12">
        <v>117.08774609995</v>
      </c>
      <c r="D12">
        <v>18496.440822181001</v>
      </c>
      <c r="E12">
        <v>34.301746633436103</v>
      </c>
      <c r="F12">
        <v>514.52619950154099</v>
      </c>
      <c r="G12">
        <v>151.38949273338599</v>
      </c>
      <c r="H12">
        <v>19010.9670216825</v>
      </c>
      <c r="I12">
        <v>8</v>
      </c>
    </row>
    <row r="13" spans="1:10" x14ac:dyDescent="0.25">
      <c r="A13">
        <v>2124</v>
      </c>
      <c r="B13" t="s">
        <v>30</v>
      </c>
      <c r="C13">
        <v>61.294510549709301</v>
      </c>
      <c r="D13">
        <v>9568.0692620503505</v>
      </c>
      <c r="E13">
        <v>17.850575411831102</v>
      </c>
      <c r="F13">
        <v>267.75863117746599</v>
      </c>
      <c r="G13">
        <v>79.145085961540303</v>
      </c>
      <c r="H13">
        <v>9835.8278932278208</v>
      </c>
      <c r="I13">
        <v>8</v>
      </c>
      <c r="J13">
        <f>H13/1.02^I13</f>
        <v>8394.7843995530657</v>
      </c>
    </row>
    <row r="14" spans="1:10" x14ac:dyDescent="0.25">
      <c r="A14">
        <v>2125</v>
      </c>
      <c r="B14" t="s">
        <v>29</v>
      </c>
      <c r="C14">
        <v>56.7802860056266</v>
      </c>
      <c r="D14">
        <v>9085.9742132748197</v>
      </c>
      <c r="E14">
        <v>16.898471434786199</v>
      </c>
      <c r="F14">
        <v>253.47707152179299</v>
      </c>
      <c r="G14">
        <v>73.678757440412795</v>
      </c>
      <c r="H14">
        <v>9339.4512847966198</v>
      </c>
      <c r="I14">
        <v>9</v>
      </c>
    </row>
    <row r="15" spans="1:10" x14ac:dyDescent="0.25">
      <c r="A15">
        <v>2126</v>
      </c>
      <c r="B15" t="s">
        <v>29</v>
      </c>
      <c r="C15">
        <v>57.775351890688597</v>
      </c>
      <c r="D15">
        <v>10320.818874094601</v>
      </c>
      <c r="E15">
        <v>17.353279432583399</v>
      </c>
      <c r="F15">
        <v>260.29919148875098</v>
      </c>
      <c r="G15">
        <v>75.128631323271904</v>
      </c>
      <c r="H15">
        <v>10581.1180655834</v>
      </c>
      <c r="I15">
        <v>10</v>
      </c>
    </row>
    <row r="16" spans="1:10" x14ac:dyDescent="0.25">
      <c r="A16">
        <v>2127</v>
      </c>
      <c r="B16" t="s">
        <v>29</v>
      </c>
      <c r="C16">
        <v>58.778416252014402</v>
      </c>
      <c r="D16">
        <v>11755.683250402901</v>
      </c>
      <c r="E16">
        <v>17.815649136899999</v>
      </c>
      <c r="F16">
        <v>267.2347370535</v>
      </c>
      <c r="G16">
        <v>76.594065388914402</v>
      </c>
      <c r="H16">
        <v>12022.9179874564</v>
      </c>
      <c r="I16">
        <v>11</v>
      </c>
    </row>
    <row r="17" spans="1:10" x14ac:dyDescent="0.25">
      <c r="A17">
        <v>2128</v>
      </c>
      <c r="B17" t="s">
        <v>29</v>
      </c>
      <c r="C17">
        <v>59.7894621361921</v>
      </c>
      <c r="D17">
        <v>11957.892427238399</v>
      </c>
      <c r="E17">
        <v>18.285634469639401</v>
      </c>
      <c r="F17">
        <v>274.28451704459098</v>
      </c>
      <c r="G17">
        <v>78.075096605831504</v>
      </c>
      <c r="H17">
        <v>12232.176944282999</v>
      </c>
      <c r="I17">
        <v>12</v>
      </c>
    </row>
    <row r="18" spans="1:10" x14ac:dyDescent="0.25">
      <c r="A18">
        <v>2128</v>
      </c>
      <c r="B18" t="s">
        <v>30</v>
      </c>
      <c r="C18">
        <v>59.7894621361921</v>
      </c>
      <c r="D18">
        <v>11957.892427238399</v>
      </c>
      <c r="E18">
        <v>18.285634469639401</v>
      </c>
      <c r="F18">
        <v>274.28451704459098</v>
      </c>
      <c r="G18">
        <v>78.075096605831504</v>
      </c>
      <c r="H18">
        <v>12232.176944282999</v>
      </c>
      <c r="I18">
        <v>12</v>
      </c>
      <c r="J18">
        <f>H18/1.02^I18</f>
        <v>9644.9880430744233</v>
      </c>
    </row>
    <row r="19" spans="1:10" x14ac:dyDescent="0.25">
      <c r="A19">
        <v>2036</v>
      </c>
      <c r="B19" t="s">
        <v>29</v>
      </c>
      <c r="C19">
        <v>135.823361177669</v>
      </c>
      <c r="D19">
        <v>4074.7008353300698</v>
      </c>
      <c r="E19">
        <v>0</v>
      </c>
      <c r="F19">
        <v>0</v>
      </c>
      <c r="G19">
        <v>135.823361177669</v>
      </c>
      <c r="H19">
        <v>4074.7008353300698</v>
      </c>
      <c r="I19">
        <v>36</v>
      </c>
    </row>
    <row r="20" spans="1:10" x14ac:dyDescent="0.25">
      <c r="A20">
        <v>2036</v>
      </c>
      <c r="B20" t="s">
        <v>30</v>
      </c>
      <c r="C20">
        <v>42.102198930383501</v>
      </c>
      <c r="D20">
        <v>1263.0659679115099</v>
      </c>
      <c r="E20">
        <v>0</v>
      </c>
      <c r="F20">
        <v>0</v>
      </c>
      <c r="G20">
        <v>42.102198930383501</v>
      </c>
      <c r="H20">
        <v>1263.0659679115099</v>
      </c>
      <c r="I20">
        <v>36</v>
      </c>
    </row>
    <row r="21" spans="1:10" x14ac:dyDescent="0.25">
      <c r="A21">
        <v>2037</v>
      </c>
      <c r="B21" t="s">
        <v>29</v>
      </c>
      <c r="C21">
        <v>104.31416886732001</v>
      </c>
      <c r="D21">
        <v>3129.4250660195898</v>
      </c>
      <c r="E21">
        <v>0</v>
      </c>
      <c r="F21">
        <v>0</v>
      </c>
      <c r="G21">
        <v>104.31416886732001</v>
      </c>
      <c r="H21">
        <v>3129.4250660195898</v>
      </c>
      <c r="I21">
        <v>37</v>
      </c>
    </row>
    <row r="22" spans="1:10" x14ac:dyDescent="0.25">
      <c r="A22">
        <v>2038</v>
      </c>
      <c r="B22" t="s">
        <v>29</v>
      </c>
      <c r="C22">
        <v>115.487297861762</v>
      </c>
      <c r="D22">
        <v>3464.61893585286</v>
      </c>
      <c r="E22">
        <v>0</v>
      </c>
      <c r="F22">
        <v>0</v>
      </c>
      <c r="G22">
        <v>115.487297861762</v>
      </c>
      <c r="H22">
        <v>3464.61893585286</v>
      </c>
      <c r="I22">
        <v>38</v>
      </c>
    </row>
    <row r="23" spans="1:10" x14ac:dyDescent="0.25">
      <c r="A23">
        <v>2039</v>
      </c>
      <c r="B23" t="s">
        <v>29</v>
      </c>
      <c r="C23">
        <v>127.23952248959699</v>
      </c>
      <c r="D23">
        <v>3817.1856746879198</v>
      </c>
      <c r="E23">
        <v>0</v>
      </c>
      <c r="F23">
        <v>0</v>
      </c>
      <c r="G23">
        <v>127.23952248959699</v>
      </c>
      <c r="H23">
        <v>3817.1856746879198</v>
      </c>
      <c r="I23">
        <v>39</v>
      </c>
    </row>
    <row r="24" spans="1:10" x14ac:dyDescent="0.25">
      <c r="A24">
        <v>2040</v>
      </c>
      <c r="B24" t="s">
        <v>29</v>
      </c>
      <c r="C24">
        <v>139.56981600981101</v>
      </c>
      <c r="D24">
        <v>4187.0944802943304</v>
      </c>
      <c r="E24">
        <v>0</v>
      </c>
      <c r="F24">
        <v>0</v>
      </c>
      <c r="G24">
        <v>139.56981600981101</v>
      </c>
      <c r="H24">
        <v>4187.0944802943304</v>
      </c>
      <c r="I24">
        <v>40</v>
      </c>
    </row>
    <row r="25" spans="1:10" x14ac:dyDescent="0.25">
      <c r="A25">
        <v>2041</v>
      </c>
      <c r="B25" t="s">
        <v>29</v>
      </c>
      <c r="C25">
        <v>152.47715168138899</v>
      </c>
      <c r="D25">
        <v>4574.3145504416598</v>
      </c>
      <c r="E25">
        <v>0</v>
      </c>
      <c r="F25">
        <v>0</v>
      </c>
      <c r="G25">
        <v>152.47715168138899</v>
      </c>
      <c r="H25">
        <v>4574.3145504416598</v>
      </c>
      <c r="I25">
        <v>41</v>
      </c>
    </row>
    <row r="26" spans="1:10" x14ac:dyDescent="0.25">
      <c r="A26">
        <v>2042</v>
      </c>
      <c r="B26" t="s">
        <v>29</v>
      </c>
      <c r="C26">
        <v>165.960502763314</v>
      </c>
      <c r="D26">
        <v>4978.8150828994303</v>
      </c>
      <c r="E26">
        <v>0</v>
      </c>
      <c r="F26">
        <v>0</v>
      </c>
      <c r="G26">
        <v>165.960502763314</v>
      </c>
      <c r="H26">
        <v>4978.8150828994303</v>
      </c>
      <c r="I26">
        <v>42</v>
      </c>
    </row>
    <row r="27" spans="1:10" x14ac:dyDescent="0.25">
      <c r="A27">
        <v>2043</v>
      </c>
      <c r="B27" t="s">
        <v>29</v>
      </c>
      <c r="C27">
        <v>180.018842514574</v>
      </c>
      <c r="D27">
        <v>5400.5652754372204</v>
      </c>
      <c r="E27">
        <v>0.160857105311278</v>
      </c>
      <c r="F27">
        <v>2.4128565796691701</v>
      </c>
      <c r="G27">
        <v>180.17969961988501</v>
      </c>
      <c r="H27">
        <v>5402.9781320168904</v>
      </c>
      <c r="I27">
        <v>43</v>
      </c>
    </row>
    <row r="28" spans="1:10" x14ac:dyDescent="0.25">
      <c r="A28">
        <v>2044</v>
      </c>
      <c r="B28" t="s">
        <v>29</v>
      </c>
      <c r="C28">
        <v>194.65114419415201</v>
      </c>
      <c r="D28">
        <v>5839.5343258245703</v>
      </c>
      <c r="E28">
        <v>0.38302855367632699</v>
      </c>
      <c r="F28">
        <v>5.7454283051449098</v>
      </c>
      <c r="G28">
        <v>195.03417274782899</v>
      </c>
      <c r="H28">
        <v>5845.2797541297195</v>
      </c>
      <c r="I28">
        <v>44</v>
      </c>
    </row>
    <row r="29" spans="1:10" x14ac:dyDescent="0.25">
      <c r="A29">
        <v>2044</v>
      </c>
      <c r="B29" t="s">
        <v>30</v>
      </c>
      <c r="C29">
        <v>72.978075409591597</v>
      </c>
      <c r="D29">
        <v>2189.3422622877501</v>
      </c>
      <c r="E29">
        <v>8.4483109292130695E-2</v>
      </c>
      <c r="F29">
        <v>1.2672466393819599</v>
      </c>
      <c r="G29">
        <v>73.062558518883705</v>
      </c>
      <c r="H29">
        <v>2190.6095089271298</v>
      </c>
      <c r="I29">
        <v>44</v>
      </c>
    </row>
    <row r="30" spans="1:10" x14ac:dyDescent="0.25">
      <c r="A30">
        <v>2045</v>
      </c>
      <c r="B30" t="s">
        <v>29</v>
      </c>
      <c r="C30">
        <v>130.96160594397799</v>
      </c>
      <c r="D30">
        <v>3928.8481783193401</v>
      </c>
      <c r="E30">
        <v>0.37149513426111302</v>
      </c>
      <c r="F30">
        <v>5.5724270139166903</v>
      </c>
      <c r="G30">
        <v>131.333101078239</v>
      </c>
      <c r="H30">
        <v>3934.42060533325</v>
      </c>
      <c r="I30">
        <v>45</v>
      </c>
    </row>
    <row r="31" spans="1:10" x14ac:dyDescent="0.25">
      <c r="A31">
        <v>2046</v>
      </c>
      <c r="B31" t="s">
        <v>29</v>
      </c>
      <c r="C31">
        <v>140.59027181947101</v>
      </c>
      <c r="D31">
        <v>4217.7081545841302</v>
      </c>
      <c r="E31">
        <v>0.53479445051391605</v>
      </c>
      <c r="F31">
        <v>8.0219167577087394</v>
      </c>
      <c r="G31">
        <v>141.12506626998501</v>
      </c>
      <c r="H31">
        <v>4225.7300713418399</v>
      </c>
      <c r="I31">
        <v>46</v>
      </c>
    </row>
    <row r="32" spans="1:10" x14ac:dyDescent="0.25">
      <c r="A32">
        <v>2047</v>
      </c>
      <c r="B32" t="s">
        <v>29</v>
      </c>
      <c r="C32">
        <v>150.55845502861999</v>
      </c>
      <c r="D32">
        <v>4516.7536508585899</v>
      </c>
      <c r="E32">
        <v>0.77456859578156201</v>
      </c>
      <c r="F32">
        <v>11.618528936723401</v>
      </c>
      <c r="G32">
        <v>151.33302362440099</v>
      </c>
      <c r="H32">
        <v>4528.3721797953203</v>
      </c>
      <c r="I32">
        <v>47</v>
      </c>
    </row>
    <row r="33" spans="1:9" x14ac:dyDescent="0.25">
      <c r="A33">
        <v>2048</v>
      </c>
      <c r="B33" t="s">
        <v>29</v>
      </c>
      <c r="C33">
        <v>160.865544189003</v>
      </c>
      <c r="D33">
        <v>4825.9663256700996</v>
      </c>
      <c r="E33">
        <v>1.06062581188979</v>
      </c>
      <c r="F33">
        <v>15.909387178346901</v>
      </c>
      <c r="G33">
        <v>161.92617000089299</v>
      </c>
      <c r="H33">
        <v>4841.8757128484503</v>
      </c>
      <c r="I33">
        <v>48</v>
      </c>
    </row>
    <row r="34" spans="1:9" x14ac:dyDescent="0.25">
      <c r="A34">
        <v>2049</v>
      </c>
      <c r="B34" t="s">
        <v>29</v>
      </c>
      <c r="C34">
        <v>171.51092791820099</v>
      </c>
      <c r="D34">
        <v>5145.3278375460304</v>
      </c>
      <c r="E34">
        <v>2.8075697469236101</v>
      </c>
      <c r="F34">
        <v>42.113546203854099</v>
      </c>
      <c r="G34">
        <v>174.31849766512499</v>
      </c>
      <c r="H34">
        <v>5187.4413837498796</v>
      </c>
      <c r="I34">
        <v>49</v>
      </c>
    </row>
    <row r="35" spans="1:9" x14ac:dyDescent="0.25">
      <c r="A35">
        <v>2050</v>
      </c>
      <c r="B35" t="s">
        <v>29</v>
      </c>
      <c r="C35">
        <v>182.49399483379199</v>
      </c>
      <c r="D35">
        <v>5474.8198450137697</v>
      </c>
      <c r="E35">
        <v>4.7731607288340001</v>
      </c>
      <c r="F35">
        <v>71.597410932510002</v>
      </c>
      <c r="G35">
        <v>187.26715556262599</v>
      </c>
      <c r="H35">
        <v>5546.4172559462704</v>
      </c>
      <c r="I35">
        <v>50</v>
      </c>
    </row>
    <row r="36" spans="1:9" x14ac:dyDescent="0.25">
      <c r="A36">
        <v>2051</v>
      </c>
      <c r="B36" t="s">
        <v>29</v>
      </c>
      <c r="C36">
        <v>193.81413355335599</v>
      </c>
      <c r="D36">
        <v>5814.4240066006896</v>
      </c>
      <c r="E36">
        <v>6.7233561976610998</v>
      </c>
      <c r="F36">
        <v>100.850342964917</v>
      </c>
      <c r="G36">
        <v>200.53748975101701</v>
      </c>
      <c r="H36">
        <v>5915.2743495656096</v>
      </c>
      <c r="I36">
        <v>51</v>
      </c>
    </row>
    <row r="37" spans="1:9" x14ac:dyDescent="0.25">
      <c r="A37">
        <v>2052</v>
      </c>
      <c r="B37" t="s">
        <v>29</v>
      </c>
      <c r="C37">
        <v>205.47073269447301</v>
      </c>
      <c r="D37">
        <v>6164.1219808341903</v>
      </c>
      <c r="E37">
        <v>8.6468030906170696</v>
      </c>
      <c r="F37">
        <v>129.702046359256</v>
      </c>
      <c r="G37">
        <v>214.11753578509001</v>
      </c>
      <c r="H37">
        <v>6293.8240271934401</v>
      </c>
      <c r="I37">
        <v>52</v>
      </c>
    </row>
    <row r="38" spans="1:9" x14ac:dyDescent="0.25">
      <c r="A38">
        <v>2052</v>
      </c>
      <c r="B38" t="s">
        <v>30</v>
      </c>
      <c r="C38">
        <v>64.481284576194199</v>
      </c>
      <c r="D38">
        <v>1934.4385372858301</v>
      </c>
      <c r="E38">
        <v>2.2415123525159202</v>
      </c>
      <c r="F38">
        <v>33.622685287738797</v>
      </c>
      <c r="G38">
        <v>66.722796928710096</v>
      </c>
      <c r="H38">
        <v>1968.0612225735599</v>
      </c>
      <c r="I38">
        <v>52</v>
      </c>
    </row>
    <row r="39" spans="1:9" x14ac:dyDescent="0.25">
      <c r="A39">
        <v>2053</v>
      </c>
      <c r="B39" t="s">
        <v>29</v>
      </c>
      <c r="C39">
        <v>149.10433960212899</v>
      </c>
      <c r="D39">
        <v>4473.1301880638803</v>
      </c>
      <c r="E39">
        <v>8.2031629056860194</v>
      </c>
      <c r="F39">
        <v>123.04744358529</v>
      </c>
      <c r="G39">
        <v>157.307502507815</v>
      </c>
      <c r="H39">
        <v>4596.1776316491696</v>
      </c>
      <c r="I39">
        <v>53</v>
      </c>
    </row>
    <row r="40" spans="1:9" x14ac:dyDescent="0.25">
      <c r="A40">
        <v>2054</v>
      </c>
      <c r="B40" t="s">
        <v>29</v>
      </c>
      <c r="C40">
        <v>157.442710920222</v>
      </c>
      <c r="D40">
        <v>4723.2813276066599</v>
      </c>
      <c r="E40">
        <v>9.77127376765403</v>
      </c>
      <c r="F40">
        <v>146.56910651480999</v>
      </c>
      <c r="G40">
        <v>167.21398468787601</v>
      </c>
      <c r="H40">
        <v>4869.8504341214702</v>
      </c>
      <c r="I40">
        <v>54</v>
      </c>
    </row>
    <row r="41" spans="1:9" x14ac:dyDescent="0.25">
      <c r="A41">
        <v>2055</v>
      </c>
      <c r="B41" t="s">
        <v>29</v>
      </c>
      <c r="C41">
        <v>166.00415413108001</v>
      </c>
      <c r="D41">
        <v>4980.1246239324</v>
      </c>
      <c r="E41">
        <v>11.189410888858401</v>
      </c>
      <c r="F41">
        <v>167.84116333287599</v>
      </c>
      <c r="G41">
        <v>177.193565019939</v>
      </c>
      <c r="H41">
        <v>5147.9657872652797</v>
      </c>
      <c r="I41">
        <v>55</v>
      </c>
    </row>
    <row r="42" spans="1:9" x14ac:dyDescent="0.25">
      <c r="A42">
        <v>2056</v>
      </c>
      <c r="B42" t="s">
        <v>29</v>
      </c>
      <c r="C42">
        <v>174.78826129322701</v>
      </c>
      <c r="D42">
        <v>5243.64783879682</v>
      </c>
      <c r="E42">
        <v>12.524309473233</v>
      </c>
      <c r="F42">
        <v>187.86464209849601</v>
      </c>
      <c r="G42">
        <v>187.31257076646</v>
      </c>
      <c r="H42">
        <v>5431.5124808953096</v>
      </c>
      <c r="I42">
        <v>56</v>
      </c>
    </row>
    <row r="43" spans="1:9" x14ac:dyDescent="0.25">
      <c r="A43">
        <v>2057</v>
      </c>
      <c r="B43" t="s">
        <v>29</v>
      </c>
      <c r="C43">
        <v>183.79462446518701</v>
      </c>
      <c r="D43">
        <v>5513.8387339556102</v>
      </c>
      <c r="E43">
        <v>13.921824108897701</v>
      </c>
      <c r="F43">
        <v>208.82736163346601</v>
      </c>
      <c r="G43">
        <v>197.71644857408501</v>
      </c>
      <c r="H43">
        <v>5722.6660955890702</v>
      </c>
      <c r="I43">
        <v>57</v>
      </c>
    </row>
    <row r="44" spans="1:9" x14ac:dyDescent="0.25">
      <c r="A44">
        <v>2058</v>
      </c>
      <c r="B44" t="s">
        <v>29</v>
      </c>
      <c r="C44">
        <v>193.022835705483</v>
      </c>
      <c r="D44">
        <v>5790.6850711644802</v>
      </c>
      <c r="E44">
        <v>15.446642291781799</v>
      </c>
      <c r="F44">
        <v>231.699634376728</v>
      </c>
      <c r="G44">
        <v>208.46947799726499</v>
      </c>
      <c r="H44">
        <v>6022.3847055412098</v>
      </c>
      <c r="I44">
        <v>58</v>
      </c>
    </row>
    <row r="45" spans="1:9" x14ac:dyDescent="0.25">
      <c r="A45">
        <v>2059</v>
      </c>
      <c r="B45" t="s">
        <v>29</v>
      </c>
      <c r="C45">
        <v>202.47248707263799</v>
      </c>
      <c r="D45">
        <v>6074.1746121791402</v>
      </c>
      <c r="E45">
        <v>16.8956622020922</v>
      </c>
      <c r="F45">
        <v>253.434933031382</v>
      </c>
      <c r="G45">
        <v>219.36814927473</v>
      </c>
      <c r="H45">
        <v>6327.6095452105201</v>
      </c>
      <c r="I45">
        <v>59</v>
      </c>
    </row>
    <row r="46" spans="1:9" x14ac:dyDescent="0.25">
      <c r="A46">
        <v>2060</v>
      </c>
      <c r="B46" t="s">
        <v>29</v>
      </c>
      <c r="C46">
        <v>212.143170625176</v>
      </c>
      <c r="D46">
        <v>6364.2951187552899</v>
      </c>
      <c r="E46">
        <v>18.4369518176977</v>
      </c>
      <c r="F46">
        <v>276.554277265466</v>
      </c>
      <c r="G46">
        <v>230.580122442874</v>
      </c>
      <c r="H46">
        <v>6640.8493960207497</v>
      </c>
      <c r="I46">
        <v>60</v>
      </c>
    </row>
    <row r="47" spans="1:9" x14ac:dyDescent="0.25">
      <c r="A47">
        <v>2060</v>
      </c>
      <c r="B47" t="s">
        <v>30</v>
      </c>
      <c r="C47">
        <v>55.011475218792697</v>
      </c>
      <c r="D47">
        <v>1650.3442565637799</v>
      </c>
      <c r="E47">
        <v>4.5570321964818099</v>
      </c>
      <c r="F47">
        <v>68.355482947227102</v>
      </c>
      <c r="G47">
        <v>59.568507415274503</v>
      </c>
      <c r="H47">
        <v>1718.69973951101</v>
      </c>
      <c r="I47">
        <v>60</v>
      </c>
    </row>
    <row r="48" spans="1:9" x14ac:dyDescent="0.25">
      <c r="A48">
        <v>2061</v>
      </c>
      <c r="B48" t="s">
        <v>29</v>
      </c>
      <c r="C48">
        <v>164.37866823495099</v>
      </c>
      <c r="D48">
        <v>4996.1991829819099</v>
      </c>
      <c r="E48">
        <v>15.082878950931599</v>
      </c>
      <c r="F48">
        <v>226.243184263974</v>
      </c>
      <c r="G48">
        <v>179.46154718588301</v>
      </c>
      <c r="H48">
        <v>5222.4423672458897</v>
      </c>
      <c r="I48">
        <v>61</v>
      </c>
    </row>
    <row r="49" spans="1:9" x14ac:dyDescent="0.25">
      <c r="A49">
        <v>2062</v>
      </c>
      <c r="B49" t="s">
        <v>29</v>
      </c>
      <c r="C49">
        <v>171.785080542858</v>
      </c>
      <c r="D49">
        <v>5302.1021794236003</v>
      </c>
      <c r="E49">
        <v>16.3541916610036</v>
      </c>
      <c r="F49">
        <v>245.31287491505401</v>
      </c>
      <c r="G49">
        <v>188.139272203861</v>
      </c>
      <c r="H49">
        <v>5547.4150543386604</v>
      </c>
      <c r="I49">
        <v>62</v>
      </c>
    </row>
    <row r="50" spans="1:9" x14ac:dyDescent="0.25">
      <c r="A50">
        <v>2063</v>
      </c>
      <c r="B50" t="s">
        <v>29</v>
      </c>
      <c r="C50">
        <v>179.35063670498201</v>
      </c>
      <c r="D50">
        <v>5598.9665353596001</v>
      </c>
      <c r="E50">
        <v>17.694798014623</v>
      </c>
      <c r="F50">
        <v>265.42197021934498</v>
      </c>
      <c r="G50">
        <v>197.045434719605</v>
      </c>
      <c r="H50">
        <v>5864.3885055789397</v>
      </c>
      <c r="I50">
        <v>63</v>
      </c>
    </row>
    <row r="51" spans="1:9" x14ac:dyDescent="0.25">
      <c r="A51">
        <v>2064</v>
      </c>
      <c r="B51" t="s">
        <v>29</v>
      </c>
      <c r="C51">
        <v>187.07504109620101</v>
      </c>
      <c r="D51">
        <v>5903.4832046137399</v>
      </c>
      <c r="E51">
        <v>19.105638274980802</v>
      </c>
      <c r="F51">
        <v>286.58457412471103</v>
      </c>
      <c r="G51">
        <v>206.18067937118099</v>
      </c>
      <c r="H51">
        <v>6190.0677787384502</v>
      </c>
      <c r="I51">
        <v>64</v>
      </c>
    </row>
    <row r="52" spans="1:9" x14ac:dyDescent="0.25">
      <c r="A52">
        <v>2065</v>
      </c>
      <c r="B52" t="s">
        <v>29</v>
      </c>
      <c r="C52">
        <v>194.95799809139299</v>
      </c>
      <c r="D52">
        <v>6279.2195130640503</v>
      </c>
      <c r="E52">
        <v>20.587652705267999</v>
      </c>
      <c r="F52">
        <v>308.81479057901998</v>
      </c>
      <c r="G52">
        <v>215.54565079666099</v>
      </c>
      <c r="H52">
        <v>6588.0343036430704</v>
      </c>
      <c r="I52">
        <v>65</v>
      </c>
    </row>
    <row r="53" spans="1:9" x14ac:dyDescent="0.25">
      <c r="A53">
        <v>2066</v>
      </c>
      <c r="B53" t="s">
        <v>29</v>
      </c>
      <c r="C53">
        <v>202.99921206543701</v>
      </c>
      <c r="D53">
        <v>6648.5542405636097</v>
      </c>
      <c r="E53">
        <v>22.1417815686757</v>
      </c>
      <c r="F53">
        <v>332.12672353013602</v>
      </c>
      <c r="G53">
        <v>225.14099363411199</v>
      </c>
      <c r="H53">
        <v>6980.6809640937399</v>
      </c>
      <c r="I53">
        <v>66</v>
      </c>
    </row>
    <row r="54" spans="1:9" x14ac:dyDescent="0.25">
      <c r="A54">
        <v>2067</v>
      </c>
      <c r="B54" t="s">
        <v>29</v>
      </c>
      <c r="C54">
        <v>211.19838739321</v>
      </c>
      <c r="D54">
        <v>7803.8283562798097</v>
      </c>
      <c r="E54">
        <v>23.768965128394999</v>
      </c>
      <c r="F54">
        <v>356.53447692592499</v>
      </c>
      <c r="G54">
        <v>234.96735252160499</v>
      </c>
      <c r="H54">
        <v>8160.3628332057397</v>
      </c>
      <c r="I54">
        <v>67</v>
      </c>
    </row>
    <row r="55" spans="1:9" x14ac:dyDescent="0.25">
      <c r="A55">
        <v>2068</v>
      </c>
      <c r="B55" t="s">
        <v>29</v>
      </c>
      <c r="C55">
        <v>219.555228449591</v>
      </c>
      <c r="D55">
        <v>8932.8952868104698</v>
      </c>
      <c r="E55">
        <v>25.470143647616901</v>
      </c>
      <c r="F55">
        <v>382.05215471425299</v>
      </c>
      <c r="G55">
        <v>245.02537209720799</v>
      </c>
      <c r="H55">
        <v>9314.9474415247205</v>
      </c>
      <c r="I55">
        <v>68</v>
      </c>
    </row>
    <row r="56" spans="1:9" x14ac:dyDescent="0.25">
      <c r="A56">
        <v>2068</v>
      </c>
      <c r="B56" t="s">
        <v>30</v>
      </c>
      <c r="C56">
        <v>51.297640952205803</v>
      </c>
      <c r="D56">
        <v>1998.6867427075999</v>
      </c>
      <c r="E56">
        <v>5.8330887177369499</v>
      </c>
      <c r="F56">
        <v>87.4963307660542</v>
      </c>
      <c r="G56">
        <v>57.130729669942703</v>
      </c>
      <c r="H56">
        <v>2086.18307347365</v>
      </c>
      <c r="I56">
        <v>68</v>
      </c>
    </row>
    <row r="57" spans="1:9" x14ac:dyDescent="0.25">
      <c r="A57">
        <v>2069</v>
      </c>
      <c r="B57" t="s">
        <v>29</v>
      </c>
      <c r="C57">
        <v>174.754592371363</v>
      </c>
      <c r="D57">
        <v>7636.3962708663203</v>
      </c>
      <c r="E57">
        <v>20.9995232296999</v>
      </c>
      <c r="F57">
        <v>314.992848445498</v>
      </c>
      <c r="G57">
        <v>195.75411560106301</v>
      </c>
      <c r="H57">
        <v>7951.3891193118097</v>
      </c>
      <c r="I57">
        <v>69</v>
      </c>
    </row>
    <row r="58" spans="1:9" x14ac:dyDescent="0.25">
      <c r="A58">
        <v>2070</v>
      </c>
      <c r="B58" t="s">
        <v>29</v>
      </c>
      <c r="C58">
        <v>181.37089990410999</v>
      </c>
      <c r="D58">
        <v>8215.1181681631006</v>
      </c>
      <c r="E58">
        <v>22.4198095830547</v>
      </c>
      <c r="F58">
        <v>336.29714374582102</v>
      </c>
      <c r="G58">
        <v>203.790709487165</v>
      </c>
      <c r="H58">
        <v>8551.4153119089206</v>
      </c>
      <c r="I58">
        <v>70</v>
      </c>
    </row>
    <row r="59" spans="1:9" x14ac:dyDescent="0.25">
      <c r="A59">
        <v>2071</v>
      </c>
      <c r="B59" t="s">
        <v>29</v>
      </c>
      <c r="C59">
        <v>188.10628546291699</v>
      </c>
      <c r="D59">
        <v>9102.2317309566406</v>
      </c>
      <c r="E59">
        <v>23.8986284551648</v>
      </c>
      <c r="F59">
        <v>358.47942682747203</v>
      </c>
      <c r="G59">
        <v>212.004913918082</v>
      </c>
      <c r="H59">
        <v>9460.7111577841097</v>
      </c>
      <c r="I59">
        <v>71</v>
      </c>
    </row>
    <row r="60" spans="1:9" x14ac:dyDescent="0.25">
      <c r="A60">
        <v>2072</v>
      </c>
      <c r="B60" t="s">
        <v>29</v>
      </c>
      <c r="C60">
        <v>194.96052441507501</v>
      </c>
      <c r="D60">
        <v>9663.8747254504106</v>
      </c>
      <c r="E60">
        <v>25.436694311250498</v>
      </c>
      <c r="F60">
        <v>381.55041466875798</v>
      </c>
      <c r="G60">
        <v>220.397218726326</v>
      </c>
      <c r="H60">
        <v>10045.4251401192</v>
      </c>
      <c r="I60">
        <v>72</v>
      </c>
    </row>
    <row r="61" spans="1:9" x14ac:dyDescent="0.25">
      <c r="A61">
        <v>2073</v>
      </c>
      <c r="B61" t="s">
        <v>29</v>
      </c>
      <c r="C61">
        <v>201.93339212787399</v>
      </c>
      <c r="D61">
        <v>10202.8076858236</v>
      </c>
      <c r="E61">
        <v>27.034721616532501</v>
      </c>
      <c r="F61">
        <v>405.52082424798698</v>
      </c>
      <c r="G61">
        <v>228.96811374440699</v>
      </c>
      <c r="H61">
        <v>10608.3285100716</v>
      </c>
      <c r="I61">
        <v>73</v>
      </c>
    </row>
    <row r="62" spans="1:9" x14ac:dyDescent="0.25">
      <c r="A62">
        <v>2074</v>
      </c>
      <c r="B62" t="s">
        <v>29</v>
      </c>
      <c r="C62">
        <v>209.02466396860601</v>
      </c>
      <c r="D62">
        <v>10666.496181939299</v>
      </c>
      <c r="E62">
        <v>28.693424836230999</v>
      </c>
      <c r="F62">
        <v>430.40137254346502</v>
      </c>
      <c r="G62">
        <v>237.71808880483701</v>
      </c>
      <c r="H62">
        <v>11096.897554482701</v>
      </c>
      <c r="I62">
        <v>74</v>
      </c>
    </row>
    <row r="63" spans="1:9" x14ac:dyDescent="0.25">
      <c r="A63">
        <v>2075</v>
      </c>
      <c r="B63" t="s">
        <v>29</v>
      </c>
      <c r="C63">
        <v>216.23411530456099</v>
      </c>
      <c r="D63">
        <v>11189.835392618899</v>
      </c>
      <c r="E63">
        <v>30.413518435566498</v>
      </c>
      <c r="F63">
        <v>456.20277653349802</v>
      </c>
      <c r="G63">
        <v>246.64763374012799</v>
      </c>
      <c r="H63">
        <v>11646.0381691524</v>
      </c>
      <c r="I63">
        <v>75</v>
      </c>
    </row>
    <row r="64" spans="1:9" x14ac:dyDescent="0.25">
      <c r="A64">
        <v>2076</v>
      </c>
      <c r="B64" t="s">
        <v>29</v>
      </c>
      <c r="C64">
        <v>223.56152150303001</v>
      </c>
      <c r="D64">
        <v>11713.537535600701</v>
      </c>
      <c r="E64">
        <v>32.195716879759502</v>
      </c>
      <c r="F64">
        <v>482.93575319639302</v>
      </c>
      <c r="G64">
        <v>255.75723838279001</v>
      </c>
      <c r="H64">
        <v>12196.4732887971</v>
      </c>
      <c r="I64">
        <v>76</v>
      </c>
    </row>
    <row r="65" spans="1:9" x14ac:dyDescent="0.25">
      <c r="A65">
        <v>2076</v>
      </c>
      <c r="B65" t="s">
        <v>30</v>
      </c>
      <c r="C65">
        <v>46.119282833039101</v>
      </c>
      <c r="D65">
        <v>2382.19285550819</v>
      </c>
      <c r="E65">
        <v>6.6146518729975199</v>
      </c>
      <c r="F65">
        <v>99.219778094962905</v>
      </c>
      <c r="G65">
        <v>52.733934706036599</v>
      </c>
      <c r="H65">
        <v>2481.41263360315</v>
      </c>
      <c r="I65">
        <v>76</v>
      </c>
    </row>
    <row r="66" spans="1:9" x14ac:dyDescent="0.25">
      <c r="A66">
        <v>2077</v>
      </c>
      <c r="B66" t="s">
        <v>29</v>
      </c>
      <c r="C66">
        <v>183.34672061070199</v>
      </c>
      <c r="D66">
        <v>9713.0860636558209</v>
      </c>
      <c r="E66">
        <v>27.0455661392499</v>
      </c>
      <c r="F66">
        <v>405.68349208874798</v>
      </c>
      <c r="G66">
        <v>210.39228674995201</v>
      </c>
      <c r="H66">
        <v>10118.7695557446</v>
      </c>
      <c r="I66">
        <v>77</v>
      </c>
    </row>
    <row r="67" spans="1:9" x14ac:dyDescent="0.25">
      <c r="A67">
        <v>2078</v>
      </c>
      <c r="B67" t="s">
        <v>29</v>
      </c>
      <c r="C67">
        <v>189.34431150076401</v>
      </c>
      <c r="D67">
        <v>10389.568255595999</v>
      </c>
      <c r="E67">
        <v>28.560442442686799</v>
      </c>
      <c r="F67">
        <v>428.406636640302</v>
      </c>
      <c r="G67">
        <v>217.904753943451</v>
      </c>
      <c r="H67">
        <v>10817.9748922363</v>
      </c>
      <c r="I67">
        <v>78</v>
      </c>
    </row>
    <row r="68" spans="1:9" x14ac:dyDescent="0.25">
      <c r="A68">
        <v>2079</v>
      </c>
      <c r="B68" t="s">
        <v>29</v>
      </c>
      <c r="C68">
        <v>195.43483332935099</v>
      </c>
      <c r="D68">
        <v>12030.966531321899</v>
      </c>
      <c r="E68">
        <v>30.1262600970589</v>
      </c>
      <c r="F68">
        <v>451.893901455883</v>
      </c>
      <c r="G68">
        <v>225.56109342641</v>
      </c>
      <c r="H68">
        <v>12482.860432777799</v>
      </c>
      <c r="I68">
        <v>79</v>
      </c>
    </row>
    <row r="69" spans="1:9" x14ac:dyDescent="0.25">
      <c r="A69">
        <v>2080</v>
      </c>
      <c r="B69" t="s">
        <v>29</v>
      </c>
      <c r="C69">
        <v>201.61810808563601</v>
      </c>
      <c r="D69">
        <v>13500.781256321699</v>
      </c>
      <c r="E69">
        <v>31.7435852823521</v>
      </c>
      <c r="F69">
        <v>476.15377923528098</v>
      </c>
      <c r="G69">
        <v>233.36169336798801</v>
      </c>
      <c r="H69">
        <v>13976.9350355569</v>
      </c>
      <c r="I69">
        <v>80</v>
      </c>
    </row>
    <row r="70" spans="1:9" x14ac:dyDescent="0.25">
      <c r="A70">
        <v>2081</v>
      </c>
      <c r="B70" t="s">
        <v>29</v>
      </c>
      <c r="C70">
        <v>207.89395775879399</v>
      </c>
      <c r="D70">
        <v>14684.016244210001</v>
      </c>
      <c r="E70">
        <v>33.4129841785523</v>
      </c>
      <c r="F70">
        <v>501.19476267828497</v>
      </c>
      <c r="G70">
        <v>241.30694193734601</v>
      </c>
      <c r="H70">
        <v>15185.211006888299</v>
      </c>
      <c r="I70">
        <v>81</v>
      </c>
    </row>
    <row r="71" spans="1:9" x14ac:dyDescent="0.25">
      <c r="A71">
        <v>2082</v>
      </c>
      <c r="B71" t="s">
        <v>29</v>
      </c>
      <c r="C71">
        <v>214.26220433799801</v>
      </c>
      <c r="D71">
        <v>15748.3186473264</v>
      </c>
      <c r="E71">
        <v>35.135022965645703</v>
      </c>
      <c r="F71">
        <v>527.025344484686</v>
      </c>
      <c r="G71">
        <v>249.39722730364301</v>
      </c>
      <c r="H71">
        <v>16275.3439918111</v>
      </c>
      <c r="I71">
        <v>82</v>
      </c>
    </row>
    <row r="72" spans="1:9" x14ac:dyDescent="0.25">
      <c r="A72">
        <v>2083</v>
      </c>
      <c r="B72" t="s">
        <v>29</v>
      </c>
      <c r="C72">
        <v>220.722669812422</v>
      </c>
      <c r="D72">
        <v>17170.2494071084</v>
      </c>
      <c r="E72">
        <v>36.910267823618298</v>
      </c>
      <c r="F72">
        <v>553.65401735427395</v>
      </c>
      <c r="G72">
        <v>257.63293763604003</v>
      </c>
      <c r="H72">
        <v>17723.903424462598</v>
      </c>
      <c r="I72">
        <v>83</v>
      </c>
    </row>
    <row r="73" spans="1:9" x14ac:dyDescent="0.25">
      <c r="A73">
        <v>2084</v>
      </c>
      <c r="B73" t="s">
        <v>29</v>
      </c>
      <c r="C73">
        <v>227.27517617123999</v>
      </c>
      <c r="D73">
        <v>18008.750478276299</v>
      </c>
      <c r="E73">
        <v>38.739284932456002</v>
      </c>
      <c r="F73">
        <v>581.08927398684</v>
      </c>
      <c r="G73">
        <v>266.01446110369602</v>
      </c>
      <c r="H73">
        <v>18589.839752263098</v>
      </c>
      <c r="I73">
        <v>84</v>
      </c>
    </row>
    <row r="74" spans="1:9" x14ac:dyDescent="0.25">
      <c r="A74">
        <v>2084</v>
      </c>
      <c r="B74" t="s">
        <v>30</v>
      </c>
      <c r="C74">
        <v>39.982554983997801</v>
      </c>
      <c r="D74">
        <v>3130.1983598578599</v>
      </c>
      <c r="E74">
        <v>6.7551578934919396</v>
      </c>
      <c r="F74">
        <v>101.32736840237899</v>
      </c>
      <c r="G74">
        <v>46.737712877489699</v>
      </c>
      <c r="H74">
        <v>3231.5257282602402</v>
      </c>
      <c r="I74">
        <v>84</v>
      </c>
    </row>
    <row r="75" spans="1:9" x14ac:dyDescent="0.25">
      <c r="A75">
        <v>2085</v>
      </c>
      <c r="B75" t="s">
        <v>29</v>
      </c>
      <c r="C75">
        <v>192.759216402444</v>
      </c>
      <c r="D75">
        <v>15420.737312195501</v>
      </c>
      <c r="E75">
        <v>33.536200483107301</v>
      </c>
      <c r="F75">
        <v>503.04300724660999</v>
      </c>
      <c r="G75">
        <v>226.29541688555099</v>
      </c>
      <c r="H75">
        <v>15923.780319442099</v>
      </c>
      <c r="I75">
        <v>85</v>
      </c>
    </row>
    <row r="76" spans="1:9" x14ac:dyDescent="0.25">
      <c r="A76">
        <v>2086</v>
      </c>
      <c r="B76" t="s">
        <v>29</v>
      </c>
      <c r="C76">
        <v>198.30110735020699</v>
      </c>
      <c r="D76">
        <v>15864.088588016501</v>
      </c>
      <c r="E76">
        <v>35.133427683049298</v>
      </c>
      <c r="F76">
        <v>527.00141524573905</v>
      </c>
      <c r="G76">
        <v>233.434535033256</v>
      </c>
      <c r="H76">
        <v>16391.090003262299</v>
      </c>
      <c r="I76">
        <v>86</v>
      </c>
    </row>
    <row r="77" spans="1:9" x14ac:dyDescent="0.25">
      <c r="A77">
        <v>2087</v>
      </c>
      <c r="B77" t="s">
        <v>29</v>
      </c>
      <c r="C77">
        <v>203.91814780735299</v>
      </c>
      <c r="D77">
        <v>16313.451824588299</v>
      </c>
      <c r="E77">
        <v>36.776273715206997</v>
      </c>
      <c r="F77">
        <v>551.64410572810402</v>
      </c>
      <c r="G77">
        <v>240.69442152255999</v>
      </c>
      <c r="H77">
        <v>16865.095930316402</v>
      </c>
      <c r="I77">
        <v>87</v>
      </c>
    </row>
    <row r="78" spans="1:9" x14ac:dyDescent="0.25">
      <c r="A78">
        <v>2088</v>
      </c>
      <c r="B78" t="s">
        <v>29</v>
      </c>
      <c r="C78">
        <v>209.610191550705</v>
      </c>
      <c r="D78">
        <v>16768.815324056399</v>
      </c>
      <c r="E78">
        <v>38.465203655997399</v>
      </c>
      <c r="F78">
        <v>576.97805483996103</v>
      </c>
      <c r="G78">
        <v>248.07539520670201</v>
      </c>
      <c r="H78">
        <v>17345.7933788964</v>
      </c>
      <c r="I78">
        <v>88</v>
      </c>
    </row>
    <row r="79" spans="1:9" x14ac:dyDescent="0.25">
      <c r="A79">
        <v>2089</v>
      </c>
      <c r="B79" t="s">
        <v>29</v>
      </c>
      <c r="C79">
        <v>215.377092357083</v>
      </c>
      <c r="D79">
        <v>17230.167388566701</v>
      </c>
      <c r="E79">
        <v>40.200682581837803</v>
      </c>
      <c r="F79">
        <v>603.01023872756696</v>
      </c>
      <c r="G79">
        <v>255.57777493892101</v>
      </c>
      <c r="H79">
        <v>17833.177627294201</v>
      </c>
      <c r="I79">
        <v>89</v>
      </c>
    </row>
    <row r="80" spans="1:9" x14ac:dyDescent="0.25">
      <c r="A80">
        <v>2090</v>
      </c>
      <c r="B80" t="s">
        <v>29</v>
      </c>
      <c r="C80">
        <v>221.218704003309</v>
      </c>
      <c r="D80">
        <v>17697.496320264701</v>
      </c>
      <c r="E80">
        <v>41.983175569145203</v>
      </c>
      <c r="F80">
        <v>629.74763353717799</v>
      </c>
      <c r="G80">
        <v>263.201879572454</v>
      </c>
      <c r="H80">
        <v>18327.243953801899</v>
      </c>
      <c r="I80">
        <v>90</v>
      </c>
    </row>
    <row r="81" spans="1:9" x14ac:dyDescent="0.25">
      <c r="A81">
        <v>2091</v>
      </c>
      <c r="B81" t="s">
        <v>29</v>
      </c>
      <c r="C81">
        <v>227.13488026620399</v>
      </c>
      <c r="D81">
        <v>18485.854829472399</v>
      </c>
      <c r="E81">
        <v>43.8131476943366</v>
      </c>
      <c r="F81">
        <v>657.19721541504896</v>
      </c>
      <c r="G81">
        <v>270.94802796054</v>
      </c>
      <c r="H81">
        <v>19143.052044887401</v>
      </c>
      <c r="I81">
        <v>91</v>
      </c>
    </row>
    <row r="82" spans="1:9" x14ac:dyDescent="0.25">
      <c r="A82">
        <v>2092</v>
      </c>
      <c r="B82" t="s">
        <v>29</v>
      </c>
      <c r="C82">
        <v>233.12547492258901</v>
      </c>
      <c r="D82">
        <v>18972.665154136601</v>
      </c>
      <c r="E82">
        <v>45.6910640338291</v>
      </c>
      <c r="F82">
        <v>685.36596050743697</v>
      </c>
      <c r="G82">
        <v>278.81653895641801</v>
      </c>
      <c r="H82">
        <v>19658.031114644</v>
      </c>
      <c r="I82">
        <v>92</v>
      </c>
    </row>
    <row r="83" spans="1:9" x14ac:dyDescent="0.25">
      <c r="A83">
        <v>2092</v>
      </c>
      <c r="B83" t="s">
        <v>30</v>
      </c>
      <c r="C83">
        <v>37.677438758306103</v>
      </c>
      <c r="D83">
        <v>3014.1951006644799</v>
      </c>
      <c r="E83">
        <v>7.24554588568187</v>
      </c>
      <c r="F83">
        <v>108.683188285228</v>
      </c>
      <c r="G83">
        <v>44.922984643987903</v>
      </c>
      <c r="H83">
        <v>3122.8782889497102</v>
      </c>
      <c r="I83">
        <v>92</v>
      </c>
    </row>
    <row r="84" spans="1:9" x14ac:dyDescent="0.25">
      <c r="A84">
        <v>2093</v>
      </c>
      <c r="B84" t="s">
        <v>29</v>
      </c>
      <c r="C84">
        <v>200.51665041732801</v>
      </c>
      <c r="D84">
        <v>16528.778357094601</v>
      </c>
      <c r="E84">
        <v>40.0602951118466</v>
      </c>
      <c r="F84">
        <v>600.90442667769798</v>
      </c>
      <c r="G84">
        <v>240.57694552917499</v>
      </c>
      <c r="H84">
        <v>17129.682783772299</v>
      </c>
      <c r="I84">
        <v>93</v>
      </c>
    </row>
    <row r="85" spans="1:9" x14ac:dyDescent="0.25">
      <c r="A85">
        <v>2094</v>
      </c>
      <c r="B85" t="s">
        <v>29</v>
      </c>
      <c r="C85">
        <v>205.64700762231899</v>
      </c>
      <c r="D85">
        <v>17186.9890586529</v>
      </c>
      <c r="E85">
        <v>41.715891904541003</v>
      </c>
      <c r="F85">
        <v>625.73837856811497</v>
      </c>
      <c r="G85">
        <v>247.36289952685999</v>
      </c>
      <c r="H85">
        <v>17812.727437221001</v>
      </c>
      <c r="I85">
        <v>94</v>
      </c>
    </row>
    <row r="86" spans="1:9" x14ac:dyDescent="0.25">
      <c r="A86">
        <v>2095</v>
      </c>
      <c r="B86" t="s">
        <v>29</v>
      </c>
      <c r="C86">
        <v>210.83898592660799</v>
      </c>
      <c r="D86">
        <v>17777.269236239499</v>
      </c>
      <c r="E86">
        <v>43.412696089911499</v>
      </c>
      <c r="F86">
        <v>651.19044134867295</v>
      </c>
      <c r="G86">
        <v>254.251682016519</v>
      </c>
      <c r="H86">
        <v>18428.459677588198</v>
      </c>
      <c r="I86">
        <v>95</v>
      </c>
    </row>
    <row r="87" spans="1:9" x14ac:dyDescent="0.25">
      <c r="A87">
        <v>2096</v>
      </c>
      <c r="B87" t="s">
        <v>29</v>
      </c>
      <c r="C87">
        <v>216.09246347754501</v>
      </c>
      <c r="D87">
        <v>19312.851350031098</v>
      </c>
      <c r="E87">
        <v>45.151095231638998</v>
      </c>
      <c r="F87">
        <v>677.26642847458504</v>
      </c>
      <c r="G87">
        <v>261.24355870918401</v>
      </c>
      <c r="H87">
        <v>19990.117778505701</v>
      </c>
      <c r="I87">
        <v>96</v>
      </c>
    </row>
    <row r="88" spans="1:9" x14ac:dyDescent="0.25">
      <c r="A88">
        <v>2097</v>
      </c>
      <c r="B88" t="s">
        <v>29</v>
      </c>
      <c r="C88">
        <v>221.40731842248201</v>
      </c>
      <c r="D88">
        <v>21749.906760793401</v>
      </c>
      <c r="E88">
        <v>46.931476893404302</v>
      </c>
      <c r="F88">
        <v>703.97215340106402</v>
      </c>
      <c r="G88">
        <v>268.33879531588599</v>
      </c>
      <c r="H88">
        <v>22453.878914194502</v>
      </c>
      <c r="I88">
        <v>97</v>
      </c>
    </row>
    <row r="89" spans="1:9" x14ac:dyDescent="0.25">
      <c r="A89">
        <v>2098</v>
      </c>
      <c r="B89" t="s">
        <v>29</v>
      </c>
      <c r="C89">
        <v>226.78342890876999</v>
      </c>
      <c r="D89">
        <v>23849.525345851998</v>
      </c>
      <c r="E89">
        <v>48.7542286388883</v>
      </c>
      <c r="F89">
        <v>731.31342958332505</v>
      </c>
      <c r="G89">
        <v>275.537657547658</v>
      </c>
      <c r="H89">
        <v>24580.838775435401</v>
      </c>
      <c r="I89">
        <v>98</v>
      </c>
    </row>
    <row r="90" spans="1:9" x14ac:dyDescent="0.25">
      <c r="A90">
        <v>2099</v>
      </c>
      <c r="B90" t="s">
        <v>29</v>
      </c>
      <c r="C90">
        <v>232.22067308376</v>
      </c>
      <c r="D90">
        <v>25677.999997409301</v>
      </c>
      <c r="E90">
        <v>50.619738031772002</v>
      </c>
      <c r="F90">
        <v>759.29607047658101</v>
      </c>
      <c r="G90">
        <v>282.84041111553199</v>
      </c>
      <c r="H90">
        <v>26437.296067885902</v>
      </c>
      <c r="I90">
        <v>99</v>
      </c>
    </row>
    <row r="91" spans="1:9" x14ac:dyDescent="0.25">
      <c r="A91">
        <v>2100</v>
      </c>
      <c r="B91" t="s">
        <v>29</v>
      </c>
      <c r="C91">
        <v>237.718929094804</v>
      </c>
      <c r="D91">
        <v>27537.372159471601</v>
      </c>
      <c r="E91">
        <v>52.528392635736303</v>
      </c>
      <c r="F91">
        <v>787.925889536044</v>
      </c>
      <c r="G91">
        <v>290.24732173054002</v>
      </c>
      <c r="H91">
        <v>28325.298049007601</v>
      </c>
      <c r="I91">
        <v>100</v>
      </c>
    </row>
    <row r="92" spans="1:9" x14ac:dyDescent="0.25">
      <c r="A92">
        <v>2100</v>
      </c>
      <c r="B92" t="s">
        <v>30</v>
      </c>
      <c r="C92">
        <v>36.403164260179601</v>
      </c>
      <c r="D92">
        <v>4141.8463762944302</v>
      </c>
      <c r="E92">
        <v>7.9384792790420997</v>
      </c>
      <c r="F92">
        <v>119.07718918563199</v>
      </c>
      <c r="G92">
        <v>44.3416435392217</v>
      </c>
      <c r="H92">
        <v>4260.9235654800596</v>
      </c>
      <c r="I92">
        <v>100</v>
      </c>
    </row>
    <row r="93" spans="1:9" x14ac:dyDescent="0.25">
      <c r="A93">
        <v>2101</v>
      </c>
      <c r="B93" t="s">
        <v>29</v>
      </c>
      <c r="C93">
        <v>206.013562962089</v>
      </c>
      <c r="D93">
        <v>24492.839633059699</v>
      </c>
      <c r="E93">
        <v>46.242898762990599</v>
      </c>
      <c r="F93">
        <v>693.64348144485905</v>
      </c>
      <c r="G93">
        <v>252.25646172507999</v>
      </c>
      <c r="H93">
        <v>25186.483114504601</v>
      </c>
      <c r="I93">
        <v>101</v>
      </c>
    </row>
    <row r="94" spans="1:9" x14ac:dyDescent="0.25">
      <c r="A94">
        <v>2102</v>
      </c>
      <c r="B94" t="s">
        <v>29</v>
      </c>
      <c r="C94">
        <v>210.762600076003</v>
      </c>
      <c r="D94">
        <v>25215.2206316015</v>
      </c>
      <c r="E94">
        <v>47.932986032751103</v>
      </c>
      <c r="F94">
        <v>718.99479049126705</v>
      </c>
      <c r="G94">
        <v>258.69558610875498</v>
      </c>
      <c r="H94">
        <v>25934.215422092799</v>
      </c>
      <c r="I94">
        <v>102</v>
      </c>
    </row>
    <row r="95" spans="1:9" x14ac:dyDescent="0.25">
      <c r="A95">
        <v>2103</v>
      </c>
      <c r="B95" t="s">
        <v>29</v>
      </c>
      <c r="C95">
        <v>215.562773396306</v>
      </c>
      <c r="D95">
        <v>25867.5328075568</v>
      </c>
      <c r="E95">
        <v>49.660502067515203</v>
      </c>
      <c r="F95">
        <v>744.90753101272799</v>
      </c>
      <c r="G95">
        <v>265.22327546382201</v>
      </c>
      <c r="H95">
        <v>26612.4403385695</v>
      </c>
      <c r="I95">
        <v>103</v>
      </c>
    </row>
    <row r="96" spans="1:9" x14ac:dyDescent="0.25">
      <c r="A96">
        <v>2104</v>
      </c>
      <c r="B96" t="s">
        <v>29</v>
      </c>
      <c r="C96">
        <v>220.41398014293799</v>
      </c>
      <c r="D96">
        <v>26449.677617152502</v>
      </c>
      <c r="E96">
        <v>51.425773768822403</v>
      </c>
      <c r="F96">
        <v>771.38660653233603</v>
      </c>
      <c r="G96">
        <v>271.83975391176</v>
      </c>
      <c r="H96">
        <v>27221.0642236848</v>
      </c>
      <c r="I96">
        <v>104</v>
      </c>
    </row>
    <row r="97" spans="1:9" x14ac:dyDescent="0.25">
      <c r="A97">
        <v>2105</v>
      </c>
      <c r="B97" t="s">
        <v>29</v>
      </c>
      <c r="C97">
        <v>225.31611753583701</v>
      </c>
      <c r="D97">
        <v>27037.934104300399</v>
      </c>
      <c r="E97">
        <v>53.229128038212302</v>
      </c>
      <c r="F97">
        <v>798.43692057318503</v>
      </c>
      <c r="G97">
        <v>278.54524557404898</v>
      </c>
      <c r="H97">
        <v>27836.371024873599</v>
      </c>
      <c r="I97">
        <v>105</v>
      </c>
    </row>
    <row r="98" spans="1:9" x14ac:dyDescent="0.25">
      <c r="A98">
        <v>2106</v>
      </c>
      <c r="B98" t="s">
        <v>29</v>
      </c>
      <c r="C98">
        <v>230.26908279494401</v>
      </c>
      <c r="D98">
        <v>27632.289935393201</v>
      </c>
      <c r="E98">
        <v>55.070891777224503</v>
      </c>
      <c r="F98">
        <v>826.06337665836702</v>
      </c>
      <c r="G98">
        <v>285.33997457216799</v>
      </c>
      <c r="H98">
        <v>28458.3533120516</v>
      </c>
      <c r="I98">
        <v>106</v>
      </c>
    </row>
    <row r="99" spans="1:9" x14ac:dyDescent="0.25">
      <c r="A99">
        <v>2107</v>
      </c>
      <c r="B99" t="s">
        <v>29</v>
      </c>
      <c r="C99">
        <v>235.27277314019801</v>
      </c>
      <c r="D99">
        <v>28232.732776823799</v>
      </c>
      <c r="E99">
        <v>56.951391887398302</v>
      </c>
      <c r="F99">
        <v>854.27087831097504</v>
      </c>
      <c r="G99">
        <v>292.22416502759597</v>
      </c>
      <c r="H99">
        <v>29087.0036551347</v>
      </c>
      <c r="I99">
        <v>107</v>
      </c>
    </row>
    <row r="100" spans="1:9" x14ac:dyDescent="0.25">
      <c r="A100">
        <v>2108</v>
      </c>
      <c r="B100" t="s">
        <v>29</v>
      </c>
      <c r="C100">
        <v>240.32708579153999</v>
      </c>
      <c r="D100">
        <v>28925.240837350699</v>
      </c>
      <c r="E100">
        <v>58.870955270273498</v>
      </c>
      <c r="F100">
        <v>883.06432905410304</v>
      </c>
      <c r="G100">
        <v>299.198041061813</v>
      </c>
      <c r="H100">
        <v>29808.305166404902</v>
      </c>
      <c r="I100">
        <v>108</v>
      </c>
    </row>
    <row r="101" spans="1:9" x14ac:dyDescent="0.25">
      <c r="A101">
        <v>2108</v>
      </c>
      <c r="B101" t="s">
        <v>30</v>
      </c>
      <c r="C101">
        <v>31.506862624137302</v>
      </c>
      <c r="D101">
        <v>3780.82351489648</v>
      </c>
      <c r="E101">
        <v>7.6188893862571803</v>
      </c>
      <c r="F101">
        <v>114.283340793858</v>
      </c>
      <c r="G101">
        <v>39.1257520103945</v>
      </c>
      <c r="H101">
        <v>3895.1068556903401</v>
      </c>
      <c r="I101">
        <v>108</v>
      </c>
    </row>
    <row r="102" spans="1:9" x14ac:dyDescent="0.25">
      <c r="A102">
        <v>2109</v>
      </c>
      <c r="B102" t="s">
        <v>29</v>
      </c>
      <c r="C102">
        <v>213.24778506802801</v>
      </c>
      <c r="D102">
        <v>25937.767174902801</v>
      </c>
      <c r="E102">
        <v>52.9539349718547</v>
      </c>
      <c r="F102">
        <v>794.30902457781997</v>
      </c>
      <c r="G102">
        <v>266.20172003988199</v>
      </c>
      <c r="H102">
        <v>26732.076199480602</v>
      </c>
      <c r="I102">
        <v>109</v>
      </c>
    </row>
    <row r="103" spans="1:9" x14ac:dyDescent="0.25">
      <c r="A103">
        <v>2110</v>
      </c>
      <c r="B103" t="s">
        <v>29</v>
      </c>
      <c r="C103">
        <v>217.71899278304599</v>
      </c>
      <c r="D103">
        <v>26481.110741534801</v>
      </c>
      <c r="E103">
        <v>54.690242909677998</v>
      </c>
      <c r="F103">
        <v>820.35364364517</v>
      </c>
      <c r="G103">
        <v>272.409235692724</v>
      </c>
      <c r="H103">
        <v>27301.464385179999</v>
      </c>
      <c r="I103">
        <v>110</v>
      </c>
    </row>
    <row r="104" spans="1:9" x14ac:dyDescent="0.25">
      <c r="A104">
        <v>2111</v>
      </c>
      <c r="B104" t="s">
        <v>29</v>
      </c>
      <c r="C104">
        <v>222.23375730704399</v>
      </c>
      <c r="D104">
        <v>27203.434174885799</v>
      </c>
      <c r="E104">
        <v>56.461272787479302</v>
      </c>
      <c r="F104">
        <v>846.91909181219</v>
      </c>
      <c r="G104">
        <v>278.69503009452302</v>
      </c>
      <c r="H104">
        <v>28050.353266697999</v>
      </c>
      <c r="I104">
        <v>111</v>
      </c>
    </row>
    <row r="105" spans="1:9" x14ac:dyDescent="0.25">
      <c r="A105">
        <v>2112</v>
      </c>
      <c r="B105" t="s">
        <v>29</v>
      </c>
      <c r="C105">
        <v>226.791989634609</v>
      </c>
      <c r="D105">
        <v>28021.7414796964</v>
      </c>
      <c r="E105">
        <v>58.267307695251702</v>
      </c>
      <c r="F105">
        <v>874.00961542877496</v>
      </c>
      <c r="G105">
        <v>285.05929732985999</v>
      </c>
      <c r="H105">
        <v>28895.751095125201</v>
      </c>
      <c r="I105">
        <v>112</v>
      </c>
    </row>
    <row r="106" spans="1:9" x14ac:dyDescent="0.25">
      <c r="A106">
        <v>2113</v>
      </c>
      <c r="B106" t="s">
        <v>29</v>
      </c>
      <c r="C106">
        <v>231.39360076032699</v>
      </c>
      <c r="D106">
        <v>28763.532909399499</v>
      </c>
      <c r="E106">
        <v>60.108630722988003</v>
      </c>
      <c r="F106">
        <v>901.62946084482098</v>
      </c>
      <c r="G106">
        <v>291.50223148331497</v>
      </c>
      <c r="H106">
        <v>29665.162370244299</v>
      </c>
      <c r="I106">
        <v>113</v>
      </c>
    </row>
    <row r="107" spans="1:9" x14ac:dyDescent="0.25">
      <c r="A107">
        <v>2114</v>
      </c>
      <c r="B107" t="s">
        <v>29</v>
      </c>
      <c r="C107">
        <v>236.03850167878599</v>
      </c>
      <c r="D107">
        <v>30549.406882499199</v>
      </c>
      <c r="E107">
        <v>61.985524960681403</v>
      </c>
      <c r="F107">
        <v>929.78287441022098</v>
      </c>
      <c r="G107">
        <v>298.02402663946799</v>
      </c>
      <c r="H107">
        <v>31479.1897569094</v>
      </c>
      <c r="I107">
        <v>114</v>
      </c>
    </row>
    <row r="108" spans="1:9" x14ac:dyDescent="0.25">
      <c r="A108">
        <v>2115</v>
      </c>
      <c r="B108" t="s">
        <v>29</v>
      </c>
      <c r="C108">
        <v>240.726603384573</v>
      </c>
      <c r="D108">
        <v>32714.524373637902</v>
      </c>
      <c r="E108">
        <v>63.898273498324897</v>
      </c>
      <c r="F108">
        <v>958.47410247487301</v>
      </c>
      <c r="G108">
        <v>304.62487688289798</v>
      </c>
      <c r="H108">
        <v>33672.9984761128</v>
      </c>
      <c r="I108">
        <v>115</v>
      </c>
    </row>
  </sheetData>
  <autoFilter ref="A1:J108" xr:uid="{BF41B878-F9FD-4DFA-9480-2B09A2AC5D3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AE4F7B-5C80-49AD-8114-19CF1477B1D6}"/>
</file>

<file path=customXml/itemProps2.xml><?xml version="1.0" encoding="utf-8"?>
<ds:datastoreItem xmlns:ds="http://schemas.openxmlformats.org/officeDocument/2006/customXml" ds:itemID="{FC18CA6B-3728-415C-B75C-F264B8090C49}"/>
</file>

<file path=customXml/itemProps3.xml><?xml version="1.0" encoding="utf-8"?>
<ds:datastoreItem xmlns:ds="http://schemas.openxmlformats.org/officeDocument/2006/customXml" ds:itemID="{18E8C9D9-1E1A-42E6-AFDC-688FACF11C9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Ligot Gauthier</dc:creator>
  <cp:lastModifiedBy>Ligot Gauthier</cp:lastModifiedBy>
  <dcterms:created xsi:type="dcterms:W3CDTF">2026-04-29T11:10:21Z</dcterms:created>
  <dcterms:modified xsi:type="dcterms:W3CDTF">2026-04-29T11:41:41Z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