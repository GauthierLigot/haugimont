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4_ANALYSE ECONOMIQUE/1_data/"/>
    </mc:Choice>
  </mc:AlternateContent>
  <xr:revisionPtr revIDLastSave="25" documentId="8_{52D85C66-584B-4EB1-B5D2-9EB466B6B005}" xr6:coauthVersionLast="47" xr6:coauthVersionMax="47" xr10:uidLastSave="{AA914FFF-4D5B-4861-B436-5739F3989DE2}"/>
  <bookViews>
    <workbookView xWindow="528" yWindow="1608" windowWidth="17280" windowHeight="8880" activeTab="1" xr2:uid="{E607CA20-A2A5-411A-A391-82AE93FA2DF1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4" i="1" l="1"/>
  <c r="D45" i="1"/>
  <c r="C44" i="1"/>
  <c r="C4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" i="1"/>
</calcChain>
</file>

<file path=xl/sharedStrings.xml><?xml version="1.0" encoding="utf-8"?>
<sst xmlns="http://schemas.openxmlformats.org/spreadsheetml/2006/main" count="14" uniqueCount="8">
  <si>
    <t>IPC (2013=100)</t>
  </si>
  <si>
    <t>Année</t>
  </si>
  <si>
    <t>Coefficient 2013</t>
  </si>
  <si>
    <t>Coefficient 2019</t>
  </si>
  <si>
    <t>Indice des prix à la consommation (base 2013, source statbel)</t>
  </si>
  <si>
    <t>IPC (2013)/IPC (année n)</t>
  </si>
  <si>
    <t>IPC (2019)/IPC (année n)</t>
  </si>
  <si>
    <t>https://bestat.statbel.fgov.be/bestat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</si>
</sst>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2" fontId="1" fillId="0" borderId="0" xfId="1" applyNumberForma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Normal" xfId="0" builtinId="0"/>
    <cellStyle name="Normal 2" xfId="1" xr:uid="{F8F4DC1C-9989-4F7D-829D-5A997C9C1095}"/>
    <cellStyle name="Standaard 2" xfId="2" xr:uid="{875A737E-EA49-4691-A22B-2878B69996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0403-4308-4B0C-BEE7-AD0CBFE06524}">
  <dimension ref="A1:H45"/>
  <sheetViews>
    <sheetView topLeftCell="A19" workbookViewId="0">
      <selection activeCell="D47" sqref="D47"/>
    </sheetView>
  </sheetViews>
  <sheetFormatPr baseColWidth="10" defaultRowHeight="14.4" x14ac:dyDescent="0.3"/>
  <cols>
    <col min="2" max="2" width="15.88671875" customWidth="1"/>
    <col min="3" max="3" width="16.88671875" customWidth="1"/>
    <col min="4" max="4" width="15.109375" customWidth="1"/>
    <col min="7" max="7" width="16.88671875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</row>
    <row r="2" spans="1:8" x14ac:dyDescent="0.3">
      <c r="A2">
        <v>1978</v>
      </c>
      <c r="B2" s="1">
        <v>35.520000000000003</v>
      </c>
      <c r="C2">
        <f>100/B2</f>
        <v>2.8153153153153152</v>
      </c>
      <c r="D2">
        <f>$B$43/B2</f>
        <v>3.0624999999999996</v>
      </c>
    </row>
    <row r="3" spans="1:8" x14ac:dyDescent="0.3">
      <c r="A3">
        <v>1979</v>
      </c>
      <c r="B3" s="1">
        <v>37.106666666666662</v>
      </c>
      <c r="C3">
        <f t="shared" ref="C3:C45" si="0">100/B3</f>
        <v>2.6949335249730511</v>
      </c>
      <c r="D3">
        <f t="shared" ref="D3:D45" si="1">$B$43/B3</f>
        <v>2.9315486884656847</v>
      </c>
      <c r="G3" s="2" t="s">
        <v>0</v>
      </c>
      <c r="H3" t="s">
        <v>4</v>
      </c>
    </row>
    <row r="4" spans="1:8" x14ac:dyDescent="0.3">
      <c r="A4">
        <v>1980</v>
      </c>
      <c r="B4" s="1">
        <v>39.573333333333338</v>
      </c>
      <c r="C4">
        <f t="shared" si="0"/>
        <v>2.5269541778975739</v>
      </c>
      <c r="D4">
        <f t="shared" si="1"/>
        <v>2.7488207547169803</v>
      </c>
      <c r="G4" s="2" t="s">
        <v>2</v>
      </c>
      <c r="H4" t="s">
        <v>5</v>
      </c>
    </row>
    <row r="5" spans="1:8" x14ac:dyDescent="0.3">
      <c r="A5">
        <v>1981</v>
      </c>
      <c r="B5" s="1">
        <v>42.593333333333334</v>
      </c>
      <c r="C5">
        <f t="shared" si="0"/>
        <v>2.347785255908593</v>
      </c>
      <c r="D5">
        <f t="shared" si="1"/>
        <v>2.5539208013773669</v>
      </c>
      <c r="G5" s="2" t="s">
        <v>3</v>
      </c>
      <c r="H5" t="s">
        <v>6</v>
      </c>
    </row>
    <row r="6" spans="1:8" x14ac:dyDescent="0.3">
      <c r="A6">
        <v>1982</v>
      </c>
      <c r="B6" s="1">
        <v>46.30916666666667</v>
      </c>
      <c r="C6">
        <f t="shared" si="0"/>
        <v>2.1593996868870451</v>
      </c>
      <c r="D6">
        <f t="shared" si="1"/>
        <v>2.3489949793957274</v>
      </c>
    </row>
    <row r="7" spans="1:8" x14ac:dyDescent="0.3">
      <c r="A7">
        <v>1983</v>
      </c>
      <c r="B7" s="1">
        <v>49.859166666666674</v>
      </c>
      <c r="C7">
        <f t="shared" si="0"/>
        <v>2.005649245374471</v>
      </c>
      <c r="D7">
        <f t="shared" si="1"/>
        <v>2.1817452491183493</v>
      </c>
    </row>
    <row r="8" spans="1:8" x14ac:dyDescent="0.3">
      <c r="A8">
        <v>1984</v>
      </c>
      <c r="B8" s="1">
        <v>53.03</v>
      </c>
      <c r="C8">
        <f t="shared" si="0"/>
        <v>1.8857250612860645</v>
      </c>
      <c r="D8">
        <f t="shared" si="1"/>
        <v>2.0512917216669808</v>
      </c>
    </row>
    <row r="9" spans="1:8" x14ac:dyDescent="0.3">
      <c r="A9">
        <v>1985</v>
      </c>
      <c r="B9" s="1">
        <v>55.611666666666657</v>
      </c>
      <c r="C9">
        <f t="shared" si="0"/>
        <v>1.7981838343273298</v>
      </c>
      <c r="D9">
        <f t="shared" si="1"/>
        <v>1.9560643749812689</v>
      </c>
    </row>
    <row r="10" spans="1:8" x14ac:dyDescent="0.3">
      <c r="A10">
        <v>1986</v>
      </c>
      <c r="B10" s="1">
        <v>56.330833333333338</v>
      </c>
      <c r="C10">
        <f t="shared" si="0"/>
        <v>1.7752267112445816</v>
      </c>
      <c r="D10">
        <f t="shared" si="1"/>
        <v>1.9310916164918557</v>
      </c>
    </row>
    <row r="11" spans="1:8" x14ac:dyDescent="0.3">
      <c r="A11">
        <v>1987</v>
      </c>
      <c r="B11" s="1">
        <v>57.208333333333343</v>
      </c>
      <c r="C11">
        <f t="shared" si="0"/>
        <v>1.747997086671522</v>
      </c>
      <c r="D11">
        <f t="shared" si="1"/>
        <v>1.9014712308812813</v>
      </c>
    </row>
    <row r="12" spans="1:8" x14ac:dyDescent="0.3">
      <c r="A12">
        <v>1988</v>
      </c>
      <c r="B12" s="1">
        <v>57.872500000000002</v>
      </c>
      <c r="C12">
        <f t="shared" si="0"/>
        <v>1.7279364119400404</v>
      </c>
      <c r="D12">
        <f t="shared" si="1"/>
        <v>1.8796492289083759</v>
      </c>
    </row>
    <row r="13" spans="1:8" x14ac:dyDescent="0.3">
      <c r="A13">
        <v>1989</v>
      </c>
      <c r="B13" s="1">
        <v>59.669999999999995</v>
      </c>
      <c r="C13">
        <f t="shared" si="0"/>
        <v>1.6758840288252055</v>
      </c>
      <c r="D13">
        <f t="shared" si="1"/>
        <v>1.8230266465560583</v>
      </c>
    </row>
    <row r="14" spans="1:8" x14ac:dyDescent="0.3">
      <c r="A14">
        <v>1990</v>
      </c>
      <c r="B14" s="1">
        <v>61.726666666666659</v>
      </c>
      <c r="C14">
        <f t="shared" si="0"/>
        <v>1.6200453612701158</v>
      </c>
      <c r="D14">
        <f t="shared" si="1"/>
        <v>1.7622853439896318</v>
      </c>
    </row>
    <row r="15" spans="1:8" x14ac:dyDescent="0.3">
      <c r="A15">
        <v>1991</v>
      </c>
      <c r="B15" s="1">
        <v>63.713333333333338</v>
      </c>
      <c r="C15">
        <f t="shared" si="0"/>
        <v>1.5695301872972689</v>
      </c>
      <c r="D15">
        <f t="shared" si="1"/>
        <v>1.7073349377419689</v>
      </c>
    </row>
    <row r="16" spans="1:8" x14ac:dyDescent="0.3">
      <c r="A16">
        <v>1992</v>
      </c>
      <c r="B16" s="1">
        <v>65.26166666666667</v>
      </c>
      <c r="C16">
        <f t="shared" si="0"/>
        <v>1.5322930765891156</v>
      </c>
      <c r="D16">
        <f t="shared" si="1"/>
        <v>1.6668284087136396</v>
      </c>
    </row>
    <row r="17" spans="1:4" x14ac:dyDescent="0.3">
      <c r="A17">
        <v>1993</v>
      </c>
      <c r="B17" s="1">
        <v>67.06</v>
      </c>
      <c r="C17">
        <f t="shared" si="0"/>
        <v>1.4912019087384432</v>
      </c>
      <c r="D17">
        <f t="shared" si="1"/>
        <v>1.6221294363256782</v>
      </c>
    </row>
    <row r="18" spans="1:4" x14ac:dyDescent="0.3">
      <c r="A18">
        <v>1994</v>
      </c>
      <c r="B18" s="1">
        <v>68.653333333333322</v>
      </c>
      <c r="C18">
        <f t="shared" si="0"/>
        <v>1.4565935133035544</v>
      </c>
      <c r="D18">
        <f t="shared" si="1"/>
        <v>1.5844824237716062</v>
      </c>
    </row>
    <row r="19" spans="1:4" x14ac:dyDescent="0.3">
      <c r="A19">
        <v>1995</v>
      </c>
      <c r="B19" s="1">
        <v>69.660833333333343</v>
      </c>
      <c r="C19">
        <f t="shared" si="0"/>
        <v>1.4355268981852545</v>
      </c>
      <c r="D19">
        <f t="shared" si="1"/>
        <v>1.5615661598459196</v>
      </c>
    </row>
    <row r="20" spans="1:4" x14ac:dyDescent="0.3">
      <c r="A20">
        <v>1996</v>
      </c>
      <c r="B20" s="1">
        <v>71.098333333333343</v>
      </c>
      <c r="C20">
        <f t="shared" si="0"/>
        <v>1.4065027309594691</v>
      </c>
      <c r="D20">
        <f t="shared" si="1"/>
        <v>1.5299936707377102</v>
      </c>
    </row>
    <row r="21" spans="1:4" x14ac:dyDescent="0.3">
      <c r="A21">
        <v>1997</v>
      </c>
      <c r="B21" s="1">
        <v>72.257499999999993</v>
      </c>
      <c r="C21">
        <f t="shared" si="0"/>
        <v>1.3839393834550049</v>
      </c>
      <c r="D21">
        <f t="shared" si="1"/>
        <v>1.505449261322354</v>
      </c>
    </row>
    <row r="22" spans="1:4" x14ac:dyDescent="0.3">
      <c r="A22">
        <v>1998</v>
      </c>
      <c r="B22" s="1">
        <v>72.936666666666667</v>
      </c>
      <c r="C22">
        <f t="shared" si="0"/>
        <v>1.3710525113111831</v>
      </c>
      <c r="D22">
        <f t="shared" si="1"/>
        <v>1.4914309218043049</v>
      </c>
    </row>
    <row r="23" spans="1:4" x14ac:dyDescent="0.3">
      <c r="A23">
        <v>1999</v>
      </c>
      <c r="B23" s="1">
        <v>73.754166666666677</v>
      </c>
      <c r="C23">
        <f t="shared" si="0"/>
        <v>1.3558556013784531</v>
      </c>
      <c r="D23">
        <f t="shared" si="1"/>
        <v>1.4748997231794809</v>
      </c>
    </row>
    <row r="24" spans="1:4" x14ac:dyDescent="0.3">
      <c r="A24">
        <v>2000</v>
      </c>
      <c r="B24" s="1">
        <v>75.631666666666661</v>
      </c>
      <c r="C24">
        <f t="shared" si="0"/>
        <v>1.3221974922320898</v>
      </c>
      <c r="D24">
        <f t="shared" si="1"/>
        <v>1.4382864320500672</v>
      </c>
    </row>
    <row r="25" spans="1:4" x14ac:dyDescent="0.3">
      <c r="A25">
        <v>2001</v>
      </c>
      <c r="B25" s="1">
        <v>77.500000000000014</v>
      </c>
      <c r="C25">
        <f t="shared" si="0"/>
        <v>1.290322580645161</v>
      </c>
      <c r="D25">
        <f t="shared" si="1"/>
        <v>1.403612903225806</v>
      </c>
    </row>
    <row r="26" spans="1:4" x14ac:dyDescent="0.3">
      <c r="A26">
        <v>2002</v>
      </c>
      <c r="B26" s="1">
        <v>78.775000000000006</v>
      </c>
      <c r="C26">
        <f t="shared" si="0"/>
        <v>1.2694382735639478</v>
      </c>
      <c r="D26">
        <f t="shared" si="1"/>
        <v>1.3808949539828623</v>
      </c>
    </row>
    <row r="27" spans="1:4" x14ac:dyDescent="0.3">
      <c r="A27">
        <v>2003</v>
      </c>
      <c r="B27" s="1">
        <v>80.028333333333322</v>
      </c>
      <c r="C27">
        <f t="shared" si="0"/>
        <v>1.2495574484036904</v>
      </c>
      <c r="D27">
        <f t="shared" si="1"/>
        <v>1.3592685923735344</v>
      </c>
    </row>
    <row r="28" spans="1:4" x14ac:dyDescent="0.3">
      <c r="A28">
        <v>2004</v>
      </c>
      <c r="B28" s="1">
        <v>81.706666666666663</v>
      </c>
      <c r="C28">
        <f t="shared" si="0"/>
        <v>1.2238903394255876</v>
      </c>
      <c r="D28">
        <f t="shared" si="1"/>
        <v>1.331347911227154</v>
      </c>
    </row>
    <row r="29" spans="1:4" x14ac:dyDescent="0.3">
      <c r="A29">
        <v>2005</v>
      </c>
      <c r="B29" s="1">
        <v>83.980833333333337</v>
      </c>
      <c r="C29">
        <f t="shared" si="0"/>
        <v>1.1907478889032219</v>
      </c>
      <c r="D29">
        <f t="shared" si="1"/>
        <v>1.2952955535489246</v>
      </c>
    </row>
    <row r="30" spans="1:4" x14ac:dyDescent="0.3">
      <c r="A30">
        <v>2006</v>
      </c>
      <c r="B30" s="1">
        <v>85.479166666666671</v>
      </c>
      <c r="C30">
        <f t="shared" si="0"/>
        <v>1.1698757007067999</v>
      </c>
      <c r="D30">
        <f t="shared" si="1"/>
        <v>1.2725907872288567</v>
      </c>
    </row>
    <row r="31" spans="1:4" x14ac:dyDescent="0.3">
      <c r="A31">
        <v>2007</v>
      </c>
      <c r="B31" s="1">
        <v>87.03749999999998</v>
      </c>
      <c r="C31">
        <f t="shared" si="0"/>
        <v>1.1489300588826659</v>
      </c>
      <c r="D31">
        <f t="shared" si="1"/>
        <v>1.2498061180525637</v>
      </c>
    </row>
    <row r="32" spans="1:4" x14ac:dyDescent="0.3">
      <c r="A32">
        <v>2008</v>
      </c>
      <c r="B32" s="1">
        <v>90.945000000000007</v>
      </c>
      <c r="C32">
        <f t="shared" si="0"/>
        <v>1.0995656715597337</v>
      </c>
      <c r="D32">
        <f t="shared" si="1"/>
        <v>1.1961075375226784</v>
      </c>
    </row>
    <row r="33" spans="1:4" x14ac:dyDescent="0.3">
      <c r="A33">
        <v>2009</v>
      </c>
      <c r="B33" s="1">
        <v>90.89666666666669</v>
      </c>
      <c r="C33">
        <f t="shared" si="0"/>
        <v>1.1001503538816968</v>
      </c>
      <c r="D33">
        <f t="shared" si="1"/>
        <v>1.1967435549525098</v>
      </c>
    </row>
    <row r="34" spans="1:4" x14ac:dyDescent="0.3">
      <c r="A34">
        <v>2010</v>
      </c>
      <c r="B34" s="1">
        <v>92.88666666666667</v>
      </c>
      <c r="C34">
        <f t="shared" si="0"/>
        <v>1.0765807794444844</v>
      </c>
      <c r="D34">
        <f t="shared" si="1"/>
        <v>1.17110457187971</v>
      </c>
    </row>
    <row r="35" spans="1:4" x14ac:dyDescent="0.3">
      <c r="A35">
        <v>2011</v>
      </c>
      <c r="B35" s="1">
        <v>96.167500000000004</v>
      </c>
      <c r="C35">
        <f t="shared" si="0"/>
        <v>1.0398523409675826</v>
      </c>
      <c r="D35">
        <f t="shared" si="1"/>
        <v>1.1311513765045362</v>
      </c>
    </row>
    <row r="36" spans="1:4" x14ac:dyDescent="0.3">
      <c r="A36">
        <v>2012</v>
      </c>
      <c r="B36" s="1">
        <v>98.898333333333355</v>
      </c>
      <c r="C36">
        <f t="shared" si="0"/>
        <v>1.0111393855642998</v>
      </c>
      <c r="D36">
        <f t="shared" si="1"/>
        <v>1.0999174236168452</v>
      </c>
    </row>
    <row r="37" spans="1:4" x14ac:dyDescent="0.3">
      <c r="A37">
        <v>2013</v>
      </c>
      <c r="B37" s="1">
        <v>99.999166666666667</v>
      </c>
      <c r="C37">
        <f t="shared" si="0"/>
        <v>1.0000083334027783</v>
      </c>
      <c r="D37">
        <f t="shared" si="1"/>
        <v>1.0878090650755421</v>
      </c>
    </row>
    <row r="38" spans="1:4" x14ac:dyDescent="0.3">
      <c r="A38">
        <v>2014</v>
      </c>
      <c r="B38" s="1">
        <v>100.33916666666666</v>
      </c>
      <c r="C38">
        <f t="shared" si="0"/>
        <v>0.99661979785228438</v>
      </c>
      <c r="D38">
        <f t="shared" si="1"/>
        <v>1.084123016103715</v>
      </c>
    </row>
    <row r="39" spans="1:4" x14ac:dyDescent="0.3">
      <c r="A39">
        <v>2015</v>
      </c>
      <c r="B39" s="1">
        <v>100.90249999999999</v>
      </c>
      <c r="C39">
        <f t="shared" si="0"/>
        <v>0.99105572210797566</v>
      </c>
      <c r="D39">
        <f t="shared" si="1"/>
        <v>1.0780704145090558</v>
      </c>
    </row>
    <row r="40" spans="1:4" x14ac:dyDescent="0.3">
      <c r="A40">
        <v>2016</v>
      </c>
      <c r="B40" s="1">
        <v>102.89416666666665</v>
      </c>
      <c r="C40">
        <f t="shared" si="0"/>
        <v>0.97187239315477891</v>
      </c>
      <c r="D40">
        <f t="shared" si="1"/>
        <v>1.0572027892737683</v>
      </c>
    </row>
    <row r="41" spans="1:4" x14ac:dyDescent="0.3">
      <c r="A41">
        <v>2017</v>
      </c>
      <c r="B41" s="1">
        <v>105.08166666666666</v>
      </c>
      <c r="C41">
        <f t="shared" si="0"/>
        <v>0.9516407873241447</v>
      </c>
      <c r="D41">
        <f t="shared" si="1"/>
        <v>1.0351948484512046</v>
      </c>
    </row>
    <row r="42" spans="1:4" x14ac:dyDescent="0.3">
      <c r="A42">
        <v>2018</v>
      </c>
      <c r="B42" s="1">
        <v>107.23916666666668</v>
      </c>
      <c r="C42">
        <f t="shared" si="0"/>
        <v>0.9324951238275816</v>
      </c>
      <c r="D42">
        <f t="shared" si="1"/>
        <v>1.0143681956996431</v>
      </c>
    </row>
    <row r="43" spans="1:4" x14ac:dyDescent="0.3">
      <c r="A43">
        <v>2019</v>
      </c>
      <c r="B43" s="1">
        <v>108.77999999999999</v>
      </c>
      <c r="C43">
        <f t="shared" si="0"/>
        <v>0.91928663357234797</v>
      </c>
      <c r="D43">
        <f t="shared" si="1"/>
        <v>1</v>
      </c>
    </row>
    <row r="44" spans="1:4" x14ac:dyDescent="0.3">
      <c r="A44">
        <v>2020</v>
      </c>
      <c r="B44" s="1">
        <v>109.58583333333333</v>
      </c>
      <c r="C44">
        <f t="shared" si="0"/>
        <v>0.91252671041725286</v>
      </c>
      <c r="D44">
        <f t="shared" si="1"/>
        <v>0.99264655559188764</v>
      </c>
    </row>
    <row r="45" spans="1:4" x14ac:dyDescent="0.3">
      <c r="A45">
        <v>2021</v>
      </c>
      <c r="B45" s="1">
        <v>112.26</v>
      </c>
      <c r="C45">
        <f t="shared" si="0"/>
        <v>0.89078923926598963</v>
      </c>
      <c r="D45">
        <f t="shared" si="1"/>
        <v>0.9690005344735434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B724-81C0-48FD-AC04-18E31C1184A7}">
  <dimension ref="A1:E49"/>
  <sheetViews>
    <sheetView tabSelected="1" topLeftCell="A13" workbookViewId="0">
      <selection activeCell="G39" sqref="G39"/>
    </sheetView>
  </sheetViews>
  <sheetFormatPr baseColWidth="10" defaultColWidth="11.44140625" defaultRowHeight="14.4" x14ac:dyDescent="0.3"/>
  <cols>
    <col min="1" max="1" width="11.44140625" style="5"/>
    <col min="2" max="2" width="15.109375" style="5" customWidth="1"/>
    <col min="3" max="3" width="15.88671875" style="4" customWidth="1"/>
    <col min="4" max="16384" width="11.44140625" style="5"/>
  </cols>
  <sheetData>
    <row r="1" spans="1:5" x14ac:dyDescent="0.3">
      <c r="A1" s="3" t="s">
        <v>1</v>
      </c>
      <c r="B1" s="6" t="s">
        <v>3</v>
      </c>
      <c r="C1" s="3" t="s">
        <v>0</v>
      </c>
      <c r="E1" s="5" t="s">
        <v>7</v>
      </c>
    </row>
    <row r="2" spans="1:5" x14ac:dyDescent="0.3">
      <c r="A2" s="4">
        <v>1978</v>
      </c>
      <c r="B2" s="7">
        <v>3.0624999999999996</v>
      </c>
      <c r="C2" s="8">
        <v>35.520000000000003</v>
      </c>
    </row>
    <row r="3" spans="1:5" x14ac:dyDescent="0.3">
      <c r="A3" s="4">
        <v>1979</v>
      </c>
      <c r="B3" s="7">
        <v>2.9315486884656847</v>
      </c>
      <c r="C3" s="8">
        <v>37.106666666666662</v>
      </c>
    </row>
    <row r="4" spans="1:5" x14ac:dyDescent="0.3">
      <c r="A4" s="4">
        <v>1980</v>
      </c>
      <c r="B4" s="7">
        <v>2.7488207547169803</v>
      </c>
      <c r="C4" s="8">
        <v>39.573333333333338</v>
      </c>
    </row>
    <row r="5" spans="1:5" x14ac:dyDescent="0.3">
      <c r="A5" s="4">
        <v>1981</v>
      </c>
      <c r="B5" s="7">
        <v>2.5539208013773669</v>
      </c>
      <c r="C5" s="8">
        <v>42.593333333333334</v>
      </c>
    </row>
    <row r="6" spans="1:5" x14ac:dyDescent="0.3">
      <c r="A6" s="4">
        <v>1982</v>
      </c>
      <c r="B6" s="7">
        <v>2.3489949793957274</v>
      </c>
      <c r="C6" s="8">
        <v>46.30916666666667</v>
      </c>
    </row>
    <row r="7" spans="1:5" x14ac:dyDescent="0.3">
      <c r="A7" s="4">
        <v>1983</v>
      </c>
      <c r="B7" s="7">
        <v>2.1817452491183493</v>
      </c>
      <c r="C7" s="8">
        <v>49.859166666666674</v>
      </c>
    </row>
    <row r="8" spans="1:5" x14ac:dyDescent="0.3">
      <c r="A8" s="4">
        <v>1984</v>
      </c>
      <c r="B8" s="7">
        <v>2.0512917216669808</v>
      </c>
      <c r="C8" s="8">
        <v>53.03</v>
      </c>
    </row>
    <row r="9" spans="1:5" x14ac:dyDescent="0.3">
      <c r="A9" s="4">
        <v>1985</v>
      </c>
      <c r="B9" s="7">
        <v>1.9560643749812689</v>
      </c>
      <c r="C9" s="8">
        <v>55.611666666666657</v>
      </c>
    </row>
    <row r="10" spans="1:5" x14ac:dyDescent="0.3">
      <c r="A10" s="4">
        <v>1986</v>
      </c>
      <c r="B10" s="7">
        <v>1.9310916164918557</v>
      </c>
      <c r="C10" s="8">
        <v>56.330833333333338</v>
      </c>
    </row>
    <row r="11" spans="1:5" x14ac:dyDescent="0.3">
      <c r="A11" s="4">
        <v>1987</v>
      </c>
      <c r="B11" s="7">
        <v>1.9014712308812813</v>
      </c>
      <c r="C11" s="8">
        <v>57.208333333333343</v>
      </c>
    </row>
    <row r="12" spans="1:5" x14ac:dyDescent="0.3">
      <c r="A12" s="4">
        <v>1988</v>
      </c>
      <c r="B12" s="7">
        <v>1.8796492289083759</v>
      </c>
      <c r="C12" s="8">
        <v>57.872500000000002</v>
      </c>
    </row>
    <row r="13" spans="1:5" x14ac:dyDescent="0.3">
      <c r="A13" s="4">
        <v>1989</v>
      </c>
      <c r="B13" s="7">
        <v>1.8230266465560583</v>
      </c>
      <c r="C13" s="8">
        <v>59.669999999999995</v>
      </c>
    </row>
    <row r="14" spans="1:5" x14ac:dyDescent="0.3">
      <c r="A14" s="4">
        <v>1990</v>
      </c>
      <c r="B14" s="7">
        <v>1.7622853439896318</v>
      </c>
      <c r="C14" s="8">
        <v>61.726666666666659</v>
      </c>
    </row>
    <row r="15" spans="1:5" x14ac:dyDescent="0.3">
      <c r="A15" s="4">
        <v>1991</v>
      </c>
      <c r="B15" s="7">
        <v>1.7073349377419689</v>
      </c>
      <c r="C15" s="8">
        <v>63.713333333333338</v>
      </c>
    </row>
    <row r="16" spans="1:5" x14ac:dyDescent="0.3">
      <c r="A16" s="4">
        <v>1992</v>
      </c>
      <c r="B16" s="7">
        <v>1.6668284087136396</v>
      </c>
      <c r="C16" s="8">
        <v>65.26166666666667</v>
      </c>
    </row>
    <row r="17" spans="1:3" x14ac:dyDescent="0.3">
      <c r="A17" s="4">
        <v>1993</v>
      </c>
      <c r="B17" s="7">
        <v>1.6221294363256782</v>
      </c>
      <c r="C17" s="8">
        <v>67.06</v>
      </c>
    </row>
    <row r="18" spans="1:3" x14ac:dyDescent="0.3">
      <c r="A18" s="4">
        <v>1994</v>
      </c>
      <c r="B18" s="7">
        <v>1.5844824237716062</v>
      </c>
      <c r="C18" s="8">
        <v>68.653333333333322</v>
      </c>
    </row>
    <row r="19" spans="1:3" x14ac:dyDescent="0.3">
      <c r="A19" s="4">
        <v>1995</v>
      </c>
      <c r="B19" s="7">
        <v>1.5615661598459196</v>
      </c>
      <c r="C19" s="8">
        <v>69.660833333333343</v>
      </c>
    </row>
    <row r="20" spans="1:3" x14ac:dyDescent="0.3">
      <c r="A20" s="4">
        <v>1996</v>
      </c>
      <c r="B20" s="7">
        <v>1.5299936707377102</v>
      </c>
      <c r="C20" s="8">
        <v>71.098333333333343</v>
      </c>
    </row>
    <row r="21" spans="1:3" x14ac:dyDescent="0.3">
      <c r="A21" s="4">
        <v>1997</v>
      </c>
      <c r="B21" s="7">
        <v>1.505449261322354</v>
      </c>
      <c r="C21" s="8">
        <v>72.257499999999993</v>
      </c>
    </row>
    <row r="22" spans="1:3" x14ac:dyDescent="0.3">
      <c r="A22" s="4">
        <v>1998</v>
      </c>
      <c r="B22" s="7">
        <v>1.4914309218043049</v>
      </c>
      <c r="C22" s="8">
        <v>72.936666666666667</v>
      </c>
    </row>
    <row r="23" spans="1:3" x14ac:dyDescent="0.3">
      <c r="A23" s="4">
        <v>1999</v>
      </c>
      <c r="B23" s="7">
        <v>1.4748997231794809</v>
      </c>
      <c r="C23" s="8">
        <v>73.754166666666677</v>
      </c>
    </row>
    <row r="24" spans="1:3" x14ac:dyDescent="0.3">
      <c r="A24" s="4">
        <v>2000</v>
      </c>
      <c r="B24" s="7">
        <v>1.4382864320500672</v>
      </c>
      <c r="C24" s="8">
        <v>75.631666666666661</v>
      </c>
    </row>
    <row r="25" spans="1:3" x14ac:dyDescent="0.3">
      <c r="A25" s="4">
        <v>2001</v>
      </c>
      <c r="B25" s="7">
        <v>1.403612903225806</v>
      </c>
      <c r="C25" s="8">
        <v>77.500000000000014</v>
      </c>
    </row>
    <row r="26" spans="1:3" x14ac:dyDescent="0.3">
      <c r="A26" s="4">
        <v>2002</v>
      </c>
      <c r="B26" s="7">
        <v>1.3808949539828623</v>
      </c>
      <c r="C26" s="8">
        <v>78.775000000000006</v>
      </c>
    </row>
    <row r="27" spans="1:3" x14ac:dyDescent="0.3">
      <c r="A27" s="4">
        <v>2003</v>
      </c>
      <c r="B27" s="7">
        <v>1.3592685923735344</v>
      </c>
      <c r="C27" s="8">
        <v>80.028333333333322</v>
      </c>
    </row>
    <row r="28" spans="1:3" x14ac:dyDescent="0.3">
      <c r="A28" s="4">
        <v>2004</v>
      </c>
      <c r="B28" s="7">
        <v>1.331347911227154</v>
      </c>
      <c r="C28" s="8">
        <v>81.706666666666663</v>
      </c>
    </row>
    <row r="29" spans="1:3" x14ac:dyDescent="0.3">
      <c r="A29" s="4">
        <v>2005</v>
      </c>
      <c r="B29" s="7">
        <v>1.2952955535489246</v>
      </c>
      <c r="C29" s="8">
        <v>83.980833333333337</v>
      </c>
    </row>
    <row r="30" spans="1:3" x14ac:dyDescent="0.3">
      <c r="A30" s="4">
        <v>2006</v>
      </c>
      <c r="B30" s="7">
        <v>1.2725907872288567</v>
      </c>
      <c r="C30" s="8">
        <v>85.479166666666671</v>
      </c>
    </row>
    <row r="31" spans="1:3" x14ac:dyDescent="0.3">
      <c r="A31" s="4">
        <v>2007</v>
      </c>
      <c r="B31" s="7">
        <v>1.2498061180525637</v>
      </c>
      <c r="C31" s="8">
        <v>87.03749999999998</v>
      </c>
    </row>
    <row r="32" spans="1:3" x14ac:dyDescent="0.3">
      <c r="A32" s="4">
        <v>2008</v>
      </c>
      <c r="B32" s="7">
        <v>1.1961075375226784</v>
      </c>
      <c r="C32" s="8">
        <v>90.945000000000007</v>
      </c>
    </row>
    <row r="33" spans="1:3" x14ac:dyDescent="0.3">
      <c r="A33" s="4">
        <v>2009</v>
      </c>
      <c r="B33" s="7">
        <v>1.1967435549525098</v>
      </c>
      <c r="C33" s="8">
        <v>90.89666666666669</v>
      </c>
    </row>
    <row r="34" spans="1:3" x14ac:dyDescent="0.3">
      <c r="A34" s="4">
        <v>2010</v>
      </c>
      <c r="B34" s="7">
        <v>1.17110457187971</v>
      </c>
      <c r="C34" s="8">
        <v>92.88666666666667</v>
      </c>
    </row>
    <row r="35" spans="1:3" x14ac:dyDescent="0.3">
      <c r="A35" s="4">
        <v>2011</v>
      </c>
      <c r="B35" s="7">
        <v>1.1311513765045362</v>
      </c>
      <c r="C35" s="8">
        <v>96.167500000000004</v>
      </c>
    </row>
    <row r="36" spans="1:3" x14ac:dyDescent="0.3">
      <c r="A36" s="4">
        <v>2012</v>
      </c>
      <c r="B36" s="7">
        <v>1.0999174236168452</v>
      </c>
      <c r="C36" s="8">
        <v>98.898333333333355</v>
      </c>
    </row>
    <row r="37" spans="1:3" x14ac:dyDescent="0.3">
      <c r="A37" s="4">
        <v>2013</v>
      </c>
      <c r="B37" s="7">
        <v>1.0878090650755421</v>
      </c>
      <c r="C37" s="8">
        <v>99.999166666666667</v>
      </c>
    </row>
    <row r="38" spans="1:3" x14ac:dyDescent="0.3">
      <c r="A38" s="4">
        <v>2014</v>
      </c>
      <c r="B38" s="7">
        <v>1.084123016103715</v>
      </c>
      <c r="C38" s="8">
        <v>100.33916666666666</v>
      </c>
    </row>
    <row r="39" spans="1:3" x14ac:dyDescent="0.3">
      <c r="A39" s="4">
        <v>2015</v>
      </c>
      <c r="B39" s="7">
        <v>1.0780704145090558</v>
      </c>
      <c r="C39" s="8">
        <v>100.90249999999999</v>
      </c>
    </row>
    <row r="40" spans="1:3" x14ac:dyDescent="0.3">
      <c r="A40" s="4">
        <v>2016</v>
      </c>
      <c r="B40" s="7">
        <v>1.0572027892737683</v>
      </c>
      <c r="C40" s="8">
        <v>102.89416666666665</v>
      </c>
    </row>
    <row r="41" spans="1:3" x14ac:dyDescent="0.3">
      <c r="A41" s="4">
        <v>2017</v>
      </c>
      <c r="B41" s="7">
        <v>1.0351948484512046</v>
      </c>
      <c r="C41" s="8">
        <v>105.08166666666666</v>
      </c>
    </row>
    <row r="42" spans="1:3" x14ac:dyDescent="0.3">
      <c r="A42" s="4">
        <v>2018</v>
      </c>
      <c r="B42" s="7">
        <v>1.0143681956996431</v>
      </c>
      <c r="C42" s="8">
        <v>107.23916666666668</v>
      </c>
    </row>
    <row r="43" spans="1:3" x14ac:dyDescent="0.3">
      <c r="A43" s="4">
        <v>2019</v>
      </c>
      <c r="B43" s="7">
        <v>1</v>
      </c>
      <c r="C43" s="8">
        <v>108.77999999999999</v>
      </c>
    </row>
    <row r="44" spans="1:3" x14ac:dyDescent="0.3">
      <c r="A44" s="4">
        <v>2020</v>
      </c>
      <c r="B44" s="7">
        <v>0.99264655559188764</v>
      </c>
      <c r="C44" s="8">
        <v>109.58583333333333</v>
      </c>
    </row>
    <row r="45" spans="1:3" x14ac:dyDescent="0.3">
      <c r="A45" s="4">
        <v>2021</v>
      </c>
      <c r="B45" s="7">
        <v>0.9690005344735434</v>
      </c>
      <c r="C45" s="8">
        <v>112.26</v>
      </c>
    </row>
    <row r="46" spans="1:3" x14ac:dyDescent="0.3">
      <c r="A46" s="5">
        <v>2022</v>
      </c>
      <c r="B46" s="9">
        <v>0.88417459156303324</v>
      </c>
      <c r="C46" s="4">
        <v>123.03</v>
      </c>
    </row>
    <row r="47" spans="1:3" x14ac:dyDescent="0.3">
      <c r="A47" s="5">
        <v>2023</v>
      </c>
      <c r="B47" s="9">
        <v>0.84971098265895939</v>
      </c>
      <c r="C47" s="4">
        <v>128.02000000000001</v>
      </c>
    </row>
    <row r="48" spans="1:3" x14ac:dyDescent="0.3">
      <c r="A48" s="5">
        <v>2024</v>
      </c>
      <c r="B48" s="9">
        <v>0.82471569370735387</v>
      </c>
      <c r="C48" s="4">
        <v>131.9</v>
      </c>
    </row>
    <row r="49" spans="1:3" x14ac:dyDescent="0.3">
      <c r="A49" s="5">
        <v>2025</v>
      </c>
      <c r="B49" s="9">
        <v>0.80126694166175605</v>
      </c>
      <c r="C49" s="4">
        <v>135.76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C1710D-A367-45BF-ABFD-47411C2F0F38}"/>
</file>

<file path=customXml/itemProps2.xml><?xml version="1.0" encoding="utf-8"?>
<ds:datastoreItem xmlns:ds="http://schemas.openxmlformats.org/officeDocument/2006/customXml" ds:itemID="{183B14E5-D360-4976-AC63-61B5FE67DE8B}">
  <ds:schemaRefs>
    <ds:schemaRef ds:uri="http://schemas.microsoft.com/office/2006/metadata/properties"/>
    <ds:schemaRef ds:uri="http://schemas.microsoft.com/office/infopath/2007/PartnerControls"/>
    <ds:schemaRef ds:uri="aad19e44-66bb-48cb-9d5c-a59f7b5db471"/>
    <ds:schemaRef ds:uri="5785a5e1-32c4-4f65-af10-eebc16574aee"/>
  </ds:schemaRefs>
</ds:datastoreItem>
</file>

<file path=customXml/itemProps3.xml><?xml version="1.0" encoding="utf-8"?>
<ds:datastoreItem xmlns:ds="http://schemas.openxmlformats.org/officeDocument/2006/customXml" ds:itemID="{31E0F990-D0ED-4666-9F63-B0B0C23E1C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</dc:creator>
  <cp:lastModifiedBy>Ligot Gauthier</cp:lastModifiedBy>
  <dcterms:created xsi:type="dcterms:W3CDTF">2022-07-21T08:49:48Z</dcterms:created>
  <dcterms:modified xsi:type="dcterms:W3CDTF">2025-11-06T07:05:00Z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  <property fmtid="{D5CDD505-2E9C-101B-9397-08002B2CF9AE}" pid="3" name="MediaServiceImageTags">
    <vt:lpwstr/>
  </property>
</Properties>
</file>